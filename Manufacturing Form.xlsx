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Odoo 19\server\odoo\addons\maz_alumec_ajo\"/>
    </mc:Choice>
  </mc:AlternateContent>
  <bookViews>
    <workbookView xWindow="-105" yWindow="-105" windowWidth="25815" windowHeight="14025"/>
  </bookViews>
  <sheets>
    <sheet name="1 LSHW- FXI-F1" sheetId="1" r:id="rId1"/>
  </sheets>
  <definedNames>
    <definedName name="_xlnm.Print_Area" localSheetId="0">'1 LSHW- FXI-F1'!$A$1:$P$271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71" i="1" l="1"/>
  <c r="AG271" i="1"/>
  <c r="AF271" i="1"/>
  <c r="AE271" i="1"/>
  <c r="AD271" i="1"/>
  <c r="W271" i="1"/>
  <c r="AH268" i="1"/>
  <c r="AG268" i="1"/>
  <c r="AF268" i="1"/>
  <c r="AE268" i="1"/>
  <c r="AD268" i="1"/>
  <c r="AC268" i="1"/>
  <c r="AB268" i="1"/>
  <c r="AA268" i="1"/>
  <c r="Z268" i="1"/>
  <c r="Y268" i="1"/>
  <c r="W268" i="1"/>
  <c r="AH267" i="1"/>
  <c r="AG267" i="1"/>
  <c r="AF267" i="1"/>
  <c r="AE267" i="1"/>
  <c r="AD267" i="1"/>
  <c r="AC267" i="1"/>
  <c r="AB267" i="1"/>
  <c r="AA267" i="1"/>
  <c r="Z267" i="1"/>
  <c r="Y267" i="1"/>
  <c r="W267" i="1"/>
  <c r="AH266" i="1"/>
  <c r="AG266" i="1"/>
  <c r="AF266" i="1"/>
  <c r="AE266" i="1"/>
  <c r="AD266" i="1"/>
  <c r="AC266" i="1"/>
  <c r="AB266" i="1"/>
  <c r="AA266" i="1"/>
  <c r="Z266" i="1"/>
  <c r="Y266" i="1"/>
  <c r="W266" i="1"/>
  <c r="AH265" i="1"/>
  <c r="AG265" i="1"/>
  <c r="AF265" i="1"/>
  <c r="AE265" i="1"/>
  <c r="AD265" i="1"/>
  <c r="AC265" i="1"/>
  <c r="AB265" i="1"/>
  <c r="AA265" i="1"/>
  <c r="Z265" i="1"/>
  <c r="Y265" i="1"/>
  <c r="W265" i="1"/>
  <c r="AH264" i="1"/>
  <c r="AG264" i="1"/>
  <c r="AF264" i="1"/>
  <c r="AE264" i="1"/>
  <c r="AD264" i="1"/>
  <c r="AC264" i="1"/>
  <c r="AB264" i="1"/>
  <c r="AA264" i="1"/>
  <c r="Z264" i="1"/>
  <c r="Y264" i="1"/>
  <c r="W264" i="1"/>
  <c r="AH263" i="1"/>
  <c r="AG263" i="1"/>
  <c r="AF263" i="1"/>
  <c r="AE263" i="1"/>
  <c r="AD263" i="1"/>
  <c r="AC263" i="1"/>
  <c r="AB263" i="1"/>
  <c r="AA263" i="1"/>
  <c r="Z263" i="1"/>
  <c r="Y263" i="1"/>
  <c r="W263" i="1"/>
  <c r="AH262" i="1"/>
  <c r="AG262" i="1"/>
  <c r="AF262" i="1"/>
  <c r="AE262" i="1"/>
  <c r="AD262" i="1"/>
  <c r="AC262" i="1"/>
  <c r="AB262" i="1"/>
  <c r="AA262" i="1"/>
  <c r="Z262" i="1"/>
  <c r="Y262" i="1"/>
  <c r="W262" i="1"/>
  <c r="AG261" i="1"/>
  <c r="AF261" i="1"/>
  <c r="AE261" i="1"/>
  <c r="AD261" i="1"/>
  <c r="AB261" i="1"/>
  <c r="AA261" i="1"/>
  <c r="Z261" i="1"/>
  <c r="Y261" i="1"/>
  <c r="W261" i="1"/>
  <c r="C261" i="1"/>
  <c r="AH261" i="1" s="1"/>
  <c r="AG260" i="1"/>
  <c r="AF260" i="1"/>
  <c r="AE260" i="1"/>
  <c r="AD260" i="1"/>
  <c r="AC260" i="1"/>
  <c r="AB260" i="1"/>
  <c r="AA260" i="1"/>
  <c r="Z260" i="1"/>
  <c r="Y260" i="1"/>
  <c r="W260" i="1"/>
  <c r="I260" i="1"/>
  <c r="C260" i="1"/>
  <c r="AH260" i="1" s="1"/>
  <c r="AG259" i="1"/>
  <c r="AF259" i="1"/>
  <c r="AE259" i="1"/>
  <c r="AD259" i="1"/>
  <c r="AB259" i="1"/>
  <c r="AA259" i="1"/>
  <c r="Z259" i="1"/>
  <c r="Y259" i="1"/>
  <c r="W259" i="1"/>
  <c r="C259" i="1"/>
  <c r="AH259" i="1" s="1"/>
  <c r="AH258" i="1"/>
  <c r="AG258" i="1"/>
  <c r="AF258" i="1"/>
  <c r="AE258" i="1"/>
  <c r="AD258" i="1"/>
  <c r="AB258" i="1"/>
  <c r="AA258" i="1"/>
  <c r="Z258" i="1"/>
  <c r="Y258" i="1"/>
  <c r="W258" i="1"/>
  <c r="AH257" i="1"/>
  <c r="AG257" i="1"/>
  <c r="AF257" i="1"/>
  <c r="AE257" i="1"/>
  <c r="AD257" i="1"/>
  <c r="AB257" i="1"/>
  <c r="AA257" i="1"/>
  <c r="Z257" i="1"/>
  <c r="Y257" i="1"/>
  <c r="W257" i="1"/>
  <c r="C257" i="1"/>
  <c r="AG256" i="1"/>
  <c r="AF256" i="1"/>
  <c r="AE256" i="1"/>
  <c r="AD256" i="1"/>
  <c r="AB256" i="1"/>
  <c r="AA256" i="1"/>
  <c r="Z256" i="1"/>
  <c r="Y256" i="1"/>
  <c r="W256" i="1"/>
  <c r="C256" i="1"/>
  <c r="AH256" i="1" s="1"/>
  <c r="AG255" i="1"/>
  <c r="AF255" i="1"/>
  <c r="AE255" i="1"/>
  <c r="AD255" i="1"/>
  <c r="AB255" i="1"/>
  <c r="AA255" i="1"/>
  <c r="Z255" i="1"/>
  <c r="Y255" i="1"/>
  <c r="W255" i="1"/>
  <c r="C255" i="1"/>
  <c r="AH255" i="1" s="1"/>
  <c r="AG254" i="1"/>
  <c r="AF254" i="1"/>
  <c r="AE254" i="1"/>
  <c r="AD254" i="1"/>
  <c r="AB254" i="1"/>
  <c r="AA254" i="1"/>
  <c r="Z254" i="1"/>
  <c r="Y254" i="1"/>
  <c r="W254" i="1"/>
  <c r="C254" i="1"/>
  <c r="AH254" i="1" s="1"/>
  <c r="AG253" i="1"/>
  <c r="AF253" i="1"/>
  <c r="AE253" i="1"/>
  <c r="AD253" i="1"/>
  <c r="AB253" i="1"/>
  <c r="AA253" i="1"/>
  <c r="Z253" i="1"/>
  <c r="Y253" i="1"/>
  <c r="W253" i="1"/>
  <c r="C253" i="1"/>
  <c r="AH253" i="1" s="1"/>
  <c r="AG252" i="1"/>
  <c r="AF252" i="1"/>
  <c r="AE252" i="1"/>
  <c r="AD252" i="1"/>
  <c r="AB252" i="1"/>
  <c r="AA252" i="1"/>
  <c r="Z252" i="1"/>
  <c r="Y252" i="1"/>
  <c r="W252" i="1"/>
  <c r="C252" i="1"/>
  <c r="AH252" i="1" s="1"/>
  <c r="AG251" i="1"/>
  <c r="AF251" i="1"/>
  <c r="AE251" i="1"/>
  <c r="AD251" i="1"/>
  <c r="AB251" i="1"/>
  <c r="AA251" i="1"/>
  <c r="Z251" i="1"/>
  <c r="Y251" i="1"/>
  <c r="W251" i="1"/>
  <c r="C251" i="1"/>
  <c r="AH251" i="1" s="1"/>
  <c r="AK250" i="1"/>
  <c r="AG250" i="1"/>
  <c r="AF250" i="1"/>
  <c r="AE250" i="1"/>
  <c r="AD250" i="1"/>
  <c r="AB250" i="1"/>
  <c r="AA250" i="1"/>
  <c r="Z250" i="1"/>
  <c r="Y250" i="1"/>
  <c r="W250" i="1"/>
  <c r="C250" i="1"/>
  <c r="AH250" i="1" s="1"/>
  <c r="AG249" i="1"/>
  <c r="AF249" i="1"/>
  <c r="AE249" i="1"/>
  <c r="AD249" i="1"/>
  <c r="AB249" i="1"/>
  <c r="AA249" i="1"/>
  <c r="Z249" i="1"/>
  <c r="Y249" i="1"/>
  <c r="W249" i="1"/>
  <c r="C249" i="1"/>
  <c r="AH249" i="1" s="1"/>
  <c r="AG248" i="1"/>
  <c r="AF248" i="1"/>
  <c r="AE248" i="1"/>
  <c r="AD248" i="1"/>
  <c r="AB248" i="1"/>
  <c r="AA248" i="1"/>
  <c r="Z248" i="1"/>
  <c r="Y248" i="1"/>
  <c r="W248" i="1"/>
  <c r="C248" i="1"/>
  <c r="AH248" i="1" s="1"/>
  <c r="AG247" i="1"/>
  <c r="AF247" i="1"/>
  <c r="AE247" i="1"/>
  <c r="AD247" i="1"/>
  <c r="AB247" i="1"/>
  <c r="AA247" i="1"/>
  <c r="Z247" i="1"/>
  <c r="Y247" i="1"/>
  <c r="W247" i="1"/>
  <c r="C247" i="1"/>
  <c r="AH247" i="1" s="1"/>
  <c r="AJ246" i="1"/>
  <c r="AH246" i="1"/>
  <c r="AG246" i="1"/>
  <c r="AF246" i="1"/>
  <c r="AE246" i="1"/>
  <c r="AD246" i="1"/>
  <c r="AB246" i="1"/>
  <c r="AA246" i="1"/>
  <c r="Z246" i="1"/>
  <c r="Y246" i="1"/>
  <c r="W246" i="1"/>
  <c r="C246" i="1"/>
  <c r="AG245" i="1"/>
  <c r="AF245" i="1"/>
  <c r="AE245" i="1"/>
  <c r="AD245" i="1"/>
  <c r="AB245" i="1"/>
  <c r="AA245" i="1"/>
  <c r="Z245" i="1"/>
  <c r="Y245" i="1"/>
  <c r="W245" i="1"/>
  <c r="C245" i="1"/>
  <c r="AH245" i="1" s="1"/>
  <c r="AH239" i="1"/>
  <c r="AG239" i="1"/>
  <c r="AF239" i="1"/>
  <c r="AE239" i="1"/>
  <c r="AD239" i="1"/>
  <c r="AC239" i="1"/>
  <c r="AB239" i="1"/>
  <c r="AA239" i="1"/>
  <c r="Z239" i="1"/>
  <c r="Y239" i="1"/>
  <c r="W239" i="1"/>
  <c r="AH238" i="1"/>
  <c r="AG238" i="1"/>
  <c r="AF238" i="1"/>
  <c r="AE238" i="1"/>
  <c r="AD238" i="1"/>
  <c r="AC238" i="1"/>
  <c r="AB238" i="1"/>
  <c r="AA238" i="1"/>
  <c r="Z238" i="1"/>
  <c r="Y238" i="1"/>
  <c r="W238" i="1"/>
  <c r="AH237" i="1"/>
  <c r="AG237" i="1"/>
  <c r="AF237" i="1"/>
  <c r="AE237" i="1"/>
  <c r="AD237" i="1"/>
  <c r="AC237" i="1"/>
  <c r="AB237" i="1"/>
  <c r="AA237" i="1"/>
  <c r="Z237" i="1"/>
  <c r="Y237" i="1"/>
  <c r="W237" i="1"/>
  <c r="AH236" i="1"/>
  <c r="AG236" i="1"/>
  <c r="AF236" i="1"/>
  <c r="AE236" i="1"/>
  <c r="AD236" i="1"/>
  <c r="AC236" i="1"/>
  <c r="AB236" i="1"/>
  <c r="AA236" i="1"/>
  <c r="Z236" i="1"/>
  <c r="Y236" i="1"/>
  <c r="W236" i="1"/>
  <c r="AH235" i="1"/>
  <c r="AG235" i="1"/>
  <c r="AF235" i="1"/>
  <c r="AE235" i="1"/>
  <c r="AD235" i="1"/>
  <c r="AC235" i="1"/>
  <c r="AB235" i="1"/>
  <c r="AA235" i="1"/>
  <c r="Z235" i="1"/>
  <c r="Y235" i="1"/>
  <c r="W235" i="1"/>
  <c r="AG234" i="1"/>
  <c r="AF234" i="1"/>
  <c r="AE234" i="1"/>
  <c r="AD234" i="1"/>
  <c r="AC234" i="1"/>
  <c r="AB234" i="1"/>
  <c r="AA234" i="1"/>
  <c r="Y234" i="1"/>
  <c r="W234" i="1"/>
  <c r="F234" i="1"/>
  <c r="Z234" i="1" s="1"/>
  <c r="C234" i="1"/>
  <c r="AH234" i="1" s="1"/>
  <c r="AG233" i="1"/>
  <c r="AF233" i="1"/>
  <c r="AE233" i="1"/>
  <c r="AD233" i="1"/>
  <c r="AB233" i="1"/>
  <c r="Y233" i="1"/>
  <c r="W233" i="1"/>
  <c r="I233" i="1"/>
  <c r="AC233" i="1" s="1"/>
  <c r="F233" i="1"/>
  <c r="Z233" i="1" s="1"/>
  <c r="C233" i="1"/>
  <c r="AH233" i="1" s="1"/>
  <c r="AG232" i="1"/>
  <c r="AF232" i="1"/>
  <c r="AE232" i="1"/>
  <c r="AD232" i="1"/>
  <c r="AB232" i="1"/>
  <c r="Y232" i="1"/>
  <c r="W232" i="1"/>
  <c r="I232" i="1"/>
  <c r="AC232" i="1" s="1"/>
  <c r="F232" i="1"/>
  <c r="Z232" i="1" s="1"/>
  <c r="C232" i="1"/>
  <c r="AH232" i="1" s="1"/>
  <c r="AJ231" i="1"/>
  <c r="AH231" i="1"/>
  <c r="AG231" i="1"/>
  <c r="AF231" i="1"/>
  <c r="AE231" i="1"/>
  <c r="AD231" i="1"/>
  <c r="AB231" i="1"/>
  <c r="Y231" i="1"/>
  <c r="W231" i="1"/>
  <c r="F231" i="1"/>
  <c r="Z231" i="1" s="1"/>
  <c r="AH230" i="1"/>
  <c r="AG230" i="1"/>
  <c r="AF230" i="1"/>
  <c r="AE230" i="1"/>
  <c r="AD230" i="1"/>
  <c r="AB230" i="1"/>
  <c r="Y230" i="1"/>
  <c r="W230" i="1"/>
  <c r="F230" i="1"/>
  <c r="Z230" i="1" s="1"/>
  <c r="AJ229" i="1"/>
  <c r="AG229" i="1"/>
  <c r="AF229" i="1"/>
  <c r="AE229" i="1"/>
  <c r="AD229" i="1"/>
  <c r="AB229" i="1"/>
  <c r="Z229" i="1"/>
  <c r="Y229" i="1"/>
  <c r="W229" i="1"/>
  <c r="F229" i="1"/>
  <c r="C229" i="1"/>
  <c r="AH229" i="1" s="1"/>
  <c r="AK228" i="1"/>
  <c r="AG228" i="1"/>
  <c r="AF228" i="1"/>
  <c r="AE228" i="1"/>
  <c r="AD228" i="1"/>
  <c r="AB228" i="1"/>
  <c r="Y228" i="1"/>
  <c r="W228" i="1"/>
  <c r="G228" i="1"/>
  <c r="AA228" i="1" s="1"/>
  <c r="F228" i="1"/>
  <c r="Z228" i="1" s="1"/>
  <c r="C228" i="1"/>
  <c r="AH228" i="1" s="1"/>
  <c r="AG227" i="1"/>
  <c r="AF227" i="1"/>
  <c r="AE227" i="1"/>
  <c r="AD227" i="1"/>
  <c r="AB227" i="1"/>
  <c r="Y227" i="1"/>
  <c r="W227" i="1"/>
  <c r="F227" i="1"/>
  <c r="Z227" i="1" s="1"/>
  <c r="C227" i="1"/>
  <c r="AH227" i="1" s="1"/>
  <c r="AK226" i="1"/>
  <c r="AG226" i="1"/>
  <c r="AF226" i="1"/>
  <c r="AE226" i="1"/>
  <c r="AD226" i="1"/>
  <c r="AB226" i="1"/>
  <c r="Y226" i="1"/>
  <c r="W226" i="1"/>
  <c r="F226" i="1"/>
  <c r="Z226" i="1" s="1"/>
  <c r="C226" i="1"/>
  <c r="AH226" i="1" s="1"/>
  <c r="AG225" i="1"/>
  <c r="AF225" i="1"/>
  <c r="AE225" i="1"/>
  <c r="AD225" i="1"/>
  <c r="AB225" i="1"/>
  <c r="Y225" i="1"/>
  <c r="W225" i="1"/>
  <c r="F225" i="1"/>
  <c r="Z225" i="1" s="1"/>
  <c r="C225" i="1"/>
  <c r="AH225" i="1" s="1"/>
  <c r="AG224" i="1"/>
  <c r="AF224" i="1"/>
  <c r="AE224" i="1"/>
  <c r="AD224" i="1"/>
  <c r="AB224" i="1"/>
  <c r="Y224" i="1"/>
  <c r="W224" i="1"/>
  <c r="G224" i="1"/>
  <c r="AA224" i="1" s="1"/>
  <c r="F224" i="1"/>
  <c r="Z224" i="1" s="1"/>
  <c r="C224" i="1"/>
  <c r="AH224" i="1" s="1"/>
  <c r="AH223" i="1"/>
  <c r="AG223" i="1"/>
  <c r="AF223" i="1"/>
  <c r="AE223" i="1"/>
  <c r="AD223" i="1"/>
  <c r="AB223" i="1"/>
  <c r="Y223" i="1"/>
  <c r="W223" i="1"/>
  <c r="G223" i="1"/>
  <c r="AA223" i="1" s="1"/>
  <c r="F223" i="1"/>
  <c r="Z223" i="1" s="1"/>
  <c r="C223" i="1"/>
  <c r="AG222" i="1"/>
  <c r="AF222" i="1"/>
  <c r="AE222" i="1"/>
  <c r="AD222" i="1"/>
  <c r="AB222" i="1"/>
  <c r="Y222" i="1"/>
  <c r="W222" i="1"/>
  <c r="F222" i="1"/>
  <c r="Z222" i="1" s="1"/>
  <c r="C222" i="1"/>
  <c r="AH222" i="1" s="1"/>
  <c r="E219" i="1"/>
  <c r="X227" i="1" s="1"/>
  <c r="D219" i="1"/>
  <c r="X268" i="1" s="1"/>
  <c r="E218" i="1"/>
  <c r="AJ265" i="1" s="1"/>
  <c r="E217" i="1"/>
  <c r="AK271" i="1" s="1"/>
  <c r="E215" i="1"/>
  <c r="I249" i="1" s="1"/>
  <c r="AC249" i="1" s="1"/>
  <c r="F214" i="1"/>
  <c r="E271" i="1" s="1"/>
  <c r="Z271" i="1" s="1"/>
  <c r="E214" i="1"/>
  <c r="M213" i="1"/>
  <c r="M214" i="1" s="1"/>
  <c r="E213" i="1"/>
  <c r="I212" i="1"/>
  <c r="G271" i="1" s="1"/>
  <c r="AA271" i="1" s="1"/>
  <c r="M208" i="1"/>
  <c r="G231" i="1" s="1"/>
  <c r="AA231" i="1" s="1"/>
  <c r="E208" i="1"/>
  <c r="AH203" i="1"/>
  <c r="AG203" i="1"/>
  <c r="AF203" i="1"/>
  <c r="AE203" i="1"/>
  <c r="AD203" i="1"/>
  <c r="W203" i="1"/>
  <c r="AH200" i="1"/>
  <c r="AG200" i="1"/>
  <c r="AF200" i="1"/>
  <c r="AE200" i="1"/>
  <c r="AD200" i="1"/>
  <c r="AC200" i="1"/>
  <c r="AB200" i="1"/>
  <c r="AA200" i="1"/>
  <c r="Z200" i="1"/>
  <c r="Y200" i="1"/>
  <c r="W200" i="1"/>
  <c r="AH199" i="1"/>
  <c r="AG199" i="1"/>
  <c r="AF199" i="1"/>
  <c r="AE199" i="1"/>
  <c r="AD199" i="1"/>
  <c r="AC199" i="1"/>
  <c r="AB199" i="1"/>
  <c r="AA199" i="1"/>
  <c r="Z199" i="1"/>
  <c r="Y199" i="1"/>
  <c r="W199" i="1"/>
  <c r="AH198" i="1"/>
  <c r="AG198" i="1"/>
  <c r="AF198" i="1"/>
  <c r="AE198" i="1"/>
  <c r="AD198" i="1"/>
  <c r="AC198" i="1"/>
  <c r="AB198" i="1"/>
  <c r="AA198" i="1"/>
  <c r="Z198" i="1"/>
  <c r="Y198" i="1"/>
  <c r="W198" i="1"/>
  <c r="AH197" i="1"/>
  <c r="AG197" i="1"/>
  <c r="AF197" i="1"/>
  <c r="AE197" i="1"/>
  <c r="AD197" i="1"/>
  <c r="AC197" i="1"/>
  <c r="AB197" i="1"/>
  <c r="AA197" i="1"/>
  <c r="Z197" i="1"/>
  <c r="Y197" i="1"/>
  <c r="W197" i="1"/>
  <c r="AH196" i="1"/>
  <c r="AG196" i="1"/>
  <c r="AF196" i="1"/>
  <c r="AE196" i="1"/>
  <c r="AD196" i="1"/>
  <c r="AC196" i="1"/>
  <c r="AB196" i="1"/>
  <c r="AA196" i="1"/>
  <c r="Z196" i="1"/>
  <c r="Y196" i="1"/>
  <c r="W196" i="1"/>
  <c r="AH195" i="1"/>
  <c r="AG195" i="1"/>
  <c r="AF195" i="1"/>
  <c r="AE195" i="1"/>
  <c r="AD195" i="1"/>
  <c r="AC195" i="1"/>
  <c r="AB195" i="1"/>
  <c r="AA195" i="1"/>
  <c r="Z195" i="1"/>
  <c r="Y195" i="1"/>
  <c r="W195" i="1"/>
  <c r="AH194" i="1"/>
  <c r="AG194" i="1"/>
  <c r="AF194" i="1"/>
  <c r="AE194" i="1"/>
  <c r="AD194" i="1"/>
  <c r="AC194" i="1"/>
  <c r="AB194" i="1"/>
  <c r="AA194" i="1"/>
  <c r="Z194" i="1"/>
  <c r="Y194" i="1"/>
  <c r="W194" i="1"/>
  <c r="AG193" i="1"/>
  <c r="AF193" i="1"/>
  <c r="AE193" i="1"/>
  <c r="AD193" i="1"/>
  <c r="AB193" i="1"/>
  <c r="AA193" i="1"/>
  <c r="Z193" i="1"/>
  <c r="Y193" i="1"/>
  <c r="W193" i="1"/>
  <c r="C193" i="1"/>
  <c r="AH193" i="1" s="1"/>
  <c r="AG192" i="1"/>
  <c r="AF192" i="1"/>
  <c r="AE192" i="1"/>
  <c r="AD192" i="1"/>
  <c r="AC192" i="1"/>
  <c r="AB192" i="1"/>
  <c r="AA192" i="1"/>
  <c r="Z192" i="1"/>
  <c r="Y192" i="1"/>
  <c r="W192" i="1"/>
  <c r="I192" i="1"/>
  <c r="C192" i="1"/>
  <c r="AH192" i="1" s="1"/>
  <c r="AH191" i="1"/>
  <c r="AG191" i="1"/>
  <c r="AF191" i="1"/>
  <c r="AE191" i="1"/>
  <c r="AD191" i="1"/>
  <c r="AB191" i="1"/>
  <c r="AA191" i="1"/>
  <c r="Z191" i="1"/>
  <c r="Y191" i="1"/>
  <c r="W191" i="1"/>
  <c r="C191" i="1"/>
  <c r="AH190" i="1"/>
  <c r="AG190" i="1"/>
  <c r="AF190" i="1"/>
  <c r="AE190" i="1"/>
  <c r="AD190" i="1"/>
  <c r="AB190" i="1"/>
  <c r="AA190" i="1"/>
  <c r="Z190" i="1"/>
  <c r="Y190" i="1"/>
  <c r="W190" i="1"/>
  <c r="AG189" i="1"/>
  <c r="AF189" i="1"/>
  <c r="AE189" i="1"/>
  <c r="AD189" i="1"/>
  <c r="AB189" i="1"/>
  <c r="AA189" i="1"/>
  <c r="Z189" i="1"/>
  <c r="Y189" i="1"/>
  <c r="W189" i="1"/>
  <c r="C189" i="1"/>
  <c r="AH189" i="1" s="1"/>
  <c r="AH188" i="1"/>
  <c r="AG188" i="1"/>
  <c r="AF188" i="1"/>
  <c r="AE188" i="1"/>
  <c r="AD188" i="1"/>
  <c r="AB188" i="1"/>
  <c r="AA188" i="1"/>
  <c r="Z188" i="1"/>
  <c r="Y188" i="1"/>
  <c r="W188" i="1"/>
  <c r="C188" i="1"/>
  <c r="AG187" i="1"/>
  <c r="AF187" i="1"/>
  <c r="AE187" i="1"/>
  <c r="AD187" i="1"/>
  <c r="AB187" i="1"/>
  <c r="AA187" i="1"/>
  <c r="Z187" i="1"/>
  <c r="Y187" i="1"/>
  <c r="W187" i="1"/>
  <c r="C187" i="1"/>
  <c r="AH187" i="1" s="1"/>
  <c r="AH186" i="1"/>
  <c r="AG186" i="1"/>
  <c r="AF186" i="1"/>
  <c r="AE186" i="1"/>
  <c r="AD186" i="1"/>
  <c r="AB186" i="1"/>
  <c r="AA186" i="1"/>
  <c r="Z186" i="1"/>
  <c r="Y186" i="1"/>
  <c r="W186" i="1"/>
  <c r="C186" i="1"/>
  <c r="AG185" i="1"/>
  <c r="AF185" i="1"/>
  <c r="AE185" i="1"/>
  <c r="AD185" i="1"/>
  <c r="AB185" i="1"/>
  <c r="AA185" i="1"/>
  <c r="Z185" i="1"/>
  <c r="Y185" i="1"/>
  <c r="W185" i="1"/>
  <c r="I185" i="1"/>
  <c r="AC185" i="1" s="1"/>
  <c r="C185" i="1"/>
  <c r="AH185" i="1" s="1"/>
  <c r="AG184" i="1"/>
  <c r="AF184" i="1"/>
  <c r="AE184" i="1"/>
  <c r="AD184" i="1"/>
  <c r="AB184" i="1"/>
  <c r="AA184" i="1"/>
  <c r="Z184" i="1"/>
  <c r="Y184" i="1"/>
  <c r="W184" i="1"/>
  <c r="C184" i="1"/>
  <c r="AH184" i="1" s="1"/>
  <c r="AH183" i="1"/>
  <c r="AG183" i="1"/>
  <c r="AF183" i="1"/>
  <c r="AE183" i="1"/>
  <c r="AD183" i="1"/>
  <c r="AB183" i="1"/>
  <c r="AA183" i="1"/>
  <c r="Z183" i="1"/>
  <c r="Y183" i="1"/>
  <c r="W183" i="1"/>
  <c r="C183" i="1"/>
  <c r="AH182" i="1"/>
  <c r="AG182" i="1"/>
  <c r="AF182" i="1"/>
  <c r="AE182" i="1"/>
  <c r="AD182" i="1"/>
  <c r="AB182" i="1"/>
  <c r="AA182" i="1"/>
  <c r="Z182" i="1"/>
  <c r="Y182" i="1"/>
  <c r="W182" i="1"/>
  <c r="C182" i="1"/>
  <c r="AG181" i="1"/>
  <c r="AF181" i="1"/>
  <c r="AE181" i="1"/>
  <c r="AD181" i="1"/>
  <c r="AB181" i="1"/>
  <c r="AA181" i="1"/>
  <c r="Z181" i="1"/>
  <c r="Y181" i="1"/>
  <c r="W181" i="1"/>
  <c r="I181" i="1"/>
  <c r="AC181" i="1" s="1"/>
  <c r="C181" i="1"/>
  <c r="AH181" i="1" s="1"/>
  <c r="AG180" i="1"/>
  <c r="AF180" i="1"/>
  <c r="AE180" i="1"/>
  <c r="AD180" i="1"/>
  <c r="AB180" i="1"/>
  <c r="AA180" i="1"/>
  <c r="Z180" i="1"/>
  <c r="Y180" i="1"/>
  <c r="W180" i="1"/>
  <c r="C180" i="1"/>
  <c r="AH180" i="1" s="1"/>
  <c r="AG179" i="1"/>
  <c r="AF179" i="1"/>
  <c r="AE179" i="1"/>
  <c r="AD179" i="1"/>
  <c r="AB179" i="1"/>
  <c r="AA179" i="1"/>
  <c r="Z179" i="1"/>
  <c r="Y179" i="1"/>
  <c r="W179" i="1"/>
  <c r="I179" i="1"/>
  <c r="AC179" i="1" s="1"/>
  <c r="C179" i="1"/>
  <c r="AH179" i="1" s="1"/>
  <c r="AG178" i="1"/>
  <c r="AF178" i="1"/>
  <c r="AE178" i="1"/>
  <c r="AD178" i="1"/>
  <c r="AB178" i="1"/>
  <c r="AA178" i="1"/>
  <c r="Z178" i="1"/>
  <c r="Y178" i="1"/>
  <c r="W178" i="1"/>
  <c r="C178" i="1"/>
  <c r="AH178" i="1" s="1"/>
  <c r="AH177" i="1"/>
  <c r="AG177" i="1"/>
  <c r="AF177" i="1"/>
  <c r="AE177" i="1"/>
  <c r="AD177" i="1"/>
  <c r="AB177" i="1"/>
  <c r="AA177" i="1"/>
  <c r="Z177" i="1"/>
  <c r="Y177" i="1"/>
  <c r="W177" i="1"/>
  <c r="C177" i="1"/>
  <c r="AH171" i="1"/>
  <c r="AG171" i="1"/>
  <c r="AF171" i="1"/>
  <c r="AE171" i="1"/>
  <c r="AD171" i="1"/>
  <c r="AC171" i="1"/>
  <c r="AB171" i="1"/>
  <c r="AA171" i="1"/>
  <c r="Z171" i="1"/>
  <c r="Y171" i="1"/>
  <c r="W171" i="1"/>
  <c r="AH170" i="1"/>
  <c r="AG170" i="1"/>
  <c r="AF170" i="1"/>
  <c r="AE170" i="1"/>
  <c r="AD170" i="1"/>
  <c r="AC170" i="1"/>
  <c r="AB170" i="1"/>
  <c r="AA170" i="1"/>
  <c r="Z170" i="1"/>
  <c r="Y170" i="1"/>
  <c r="W170" i="1"/>
  <c r="AH169" i="1"/>
  <c r="AG169" i="1"/>
  <c r="AF169" i="1"/>
  <c r="AE169" i="1"/>
  <c r="AD169" i="1"/>
  <c r="AC169" i="1"/>
  <c r="AB169" i="1"/>
  <c r="AA169" i="1"/>
  <c r="Z169" i="1"/>
  <c r="Y169" i="1"/>
  <c r="W169" i="1"/>
  <c r="AH168" i="1"/>
  <c r="AG168" i="1"/>
  <c r="AF168" i="1"/>
  <c r="AE168" i="1"/>
  <c r="AD168" i="1"/>
  <c r="AC168" i="1"/>
  <c r="AB168" i="1"/>
  <c r="AA168" i="1"/>
  <c r="Z168" i="1"/>
  <c r="Y168" i="1"/>
  <c r="W168" i="1"/>
  <c r="AH167" i="1"/>
  <c r="AG167" i="1"/>
  <c r="AF167" i="1"/>
  <c r="AE167" i="1"/>
  <c r="AD167" i="1"/>
  <c r="AC167" i="1"/>
  <c r="AB167" i="1"/>
  <c r="AA167" i="1"/>
  <c r="Z167" i="1"/>
  <c r="Y167" i="1"/>
  <c r="W167" i="1"/>
  <c r="AG166" i="1"/>
  <c r="AF166" i="1"/>
  <c r="AE166" i="1"/>
  <c r="AD166" i="1"/>
  <c r="AC166" i="1"/>
  <c r="AB166" i="1"/>
  <c r="AA166" i="1"/>
  <c r="Z166" i="1"/>
  <c r="Y166" i="1"/>
  <c r="W166" i="1"/>
  <c r="F166" i="1"/>
  <c r="C166" i="1"/>
  <c r="AH166" i="1" s="1"/>
  <c r="AG165" i="1"/>
  <c r="AF165" i="1"/>
  <c r="AE165" i="1"/>
  <c r="AD165" i="1"/>
  <c r="AB165" i="1"/>
  <c r="Y165" i="1"/>
  <c r="W165" i="1"/>
  <c r="I165" i="1"/>
  <c r="AC165" i="1" s="1"/>
  <c r="F165" i="1"/>
  <c r="Z165" i="1" s="1"/>
  <c r="C165" i="1"/>
  <c r="AH165" i="1" s="1"/>
  <c r="AG164" i="1"/>
  <c r="AF164" i="1"/>
  <c r="AE164" i="1"/>
  <c r="AD164" i="1"/>
  <c r="AB164" i="1"/>
  <c r="Y164" i="1"/>
  <c r="W164" i="1"/>
  <c r="I164" i="1"/>
  <c r="AC164" i="1" s="1"/>
  <c r="F164" i="1"/>
  <c r="Z164" i="1" s="1"/>
  <c r="C164" i="1"/>
  <c r="AH164" i="1" s="1"/>
  <c r="AH163" i="1"/>
  <c r="AG163" i="1"/>
  <c r="AF163" i="1"/>
  <c r="AE163" i="1"/>
  <c r="AD163" i="1"/>
  <c r="AB163" i="1"/>
  <c r="Y163" i="1"/>
  <c r="W163" i="1"/>
  <c r="F163" i="1"/>
  <c r="Z163" i="1" s="1"/>
  <c r="AH162" i="1"/>
  <c r="AG162" i="1"/>
  <c r="AF162" i="1"/>
  <c r="AE162" i="1"/>
  <c r="AD162" i="1"/>
  <c r="AB162" i="1"/>
  <c r="Y162" i="1"/>
  <c r="W162" i="1"/>
  <c r="F162" i="1"/>
  <c r="Z162" i="1" s="1"/>
  <c r="AK161" i="1"/>
  <c r="AG161" i="1"/>
  <c r="AF161" i="1"/>
  <c r="AE161" i="1"/>
  <c r="AD161" i="1"/>
  <c r="AB161" i="1"/>
  <c r="Y161" i="1"/>
  <c r="W161" i="1"/>
  <c r="F161" i="1"/>
  <c r="Z161" i="1" s="1"/>
  <c r="C161" i="1"/>
  <c r="AH161" i="1" s="1"/>
  <c r="AH160" i="1"/>
  <c r="AG160" i="1"/>
  <c r="AF160" i="1"/>
  <c r="AE160" i="1"/>
  <c r="AD160" i="1"/>
  <c r="AB160" i="1"/>
  <c r="Y160" i="1"/>
  <c r="W160" i="1"/>
  <c r="F160" i="1"/>
  <c r="Z160" i="1" s="1"/>
  <c r="C160" i="1"/>
  <c r="AK159" i="1"/>
  <c r="AG159" i="1"/>
  <c r="AF159" i="1"/>
  <c r="AE159" i="1"/>
  <c r="AD159" i="1"/>
  <c r="AB159" i="1"/>
  <c r="Y159" i="1"/>
  <c r="W159" i="1"/>
  <c r="F159" i="1"/>
  <c r="Z159" i="1" s="1"/>
  <c r="C159" i="1"/>
  <c r="AH159" i="1" s="1"/>
  <c r="AG158" i="1"/>
  <c r="AF158" i="1"/>
  <c r="AE158" i="1"/>
  <c r="AD158" i="1"/>
  <c r="AB158" i="1"/>
  <c r="Y158" i="1"/>
  <c r="W158" i="1"/>
  <c r="I158" i="1"/>
  <c r="F158" i="1"/>
  <c r="Z158" i="1" s="1"/>
  <c r="C158" i="1"/>
  <c r="AH158" i="1" s="1"/>
  <c r="AH157" i="1"/>
  <c r="AG157" i="1"/>
  <c r="AF157" i="1"/>
  <c r="AE157" i="1"/>
  <c r="AD157" i="1"/>
  <c r="AB157" i="1"/>
  <c r="Y157" i="1"/>
  <c r="W157" i="1"/>
  <c r="I157" i="1"/>
  <c r="AC157" i="1" s="1"/>
  <c r="F157" i="1"/>
  <c r="Z157" i="1" s="1"/>
  <c r="C157" i="1"/>
  <c r="AH156" i="1"/>
  <c r="AG156" i="1"/>
  <c r="AF156" i="1"/>
  <c r="AE156" i="1"/>
  <c r="AD156" i="1"/>
  <c r="AB156" i="1"/>
  <c r="Y156" i="1"/>
  <c r="W156" i="1"/>
  <c r="I156" i="1"/>
  <c r="AC156" i="1" s="1"/>
  <c r="F156" i="1"/>
  <c r="Z156" i="1" s="1"/>
  <c r="C156" i="1"/>
  <c r="AG155" i="1"/>
  <c r="AF155" i="1"/>
  <c r="AE155" i="1"/>
  <c r="AD155" i="1"/>
  <c r="AB155" i="1"/>
  <c r="Y155" i="1"/>
  <c r="W155" i="1"/>
  <c r="F155" i="1"/>
  <c r="Z155" i="1" s="1"/>
  <c r="C155" i="1"/>
  <c r="AH155" i="1" s="1"/>
  <c r="AG154" i="1"/>
  <c r="AF154" i="1"/>
  <c r="AE154" i="1"/>
  <c r="AD154" i="1"/>
  <c r="AB154" i="1"/>
  <c r="Y154" i="1"/>
  <c r="W154" i="1"/>
  <c r="I154" i="1"/>
  <c r="AC154" i="1" s="1"/>
  <c r="F154" i="1"/>
  <c r="Z154" i="1" s="1"/>
  <c r="C154" i="1"/>
  <c r="AH154" i="1" s="1"/>
  <c r="E151" i="1"/>
  <c r="D151" i="1"/>
  <c r="X196" i="1" s="1"/>
  <c r="E150" i="1"/>
  <c r="AJ197" i="1" s="1"/>
  <c r="E149" i="1"/>
  <c r="AK200" i="1" s="1"/>
  <c r="E147" i="1"/>
  <c r="F146" i="1"/>
  <c r="E203" i="1" s="1"/>
  <c r="Z203" i="1" s="1"/>
  <c r="E146" i="1"/>
  <c r="AI198" i="1" s="1"/>
  <c r="M145" i="1"/>
  <c r="M146" i="1" s="1"/>
  <c r="AL154" i="1" s="1"/>
  <c r="E145" i="1"/>
  <c r="I144" i="1"/>
  <c r="G159" i="1" s="1"/>
  <c r="AA159" i="1" s="1"/>
  <c r="M140" i="1"/>
  <c r="G163" i="1" s="1"/>
  <c r="AA163" i="1" s="1"/>
  <c r="E140" i="1"/>
  <c r="AH135" i="1"/>
  <c r="AG135" i="1"/>
  <c r="AF135" i="1"/>
  <c r="AE135" i="1"/>
  <c r="AD135" i="1"/>
  <c r="W135" i="1"/>
  <c r="AH132" i="1"/>
  <c r="AG132" i="1"/>
  <c r="AF132" i="1"/>
  <c r="AE132" i="1"/>
  <c r="AD132" i="1"/>
  <c r="AC132" i="1"/>
  <c r="AB132" i="1"/>
  <c r="AA132" i="1"/>
  <c r="Z132" i="1"/>
  <c r="Y132" i="1"/>
  <c r="W132" i="1"/>
  <c r="AH131" i="1"/>
  <c r="AG131" i="1"/>
  <c r="AF131" i="1"/>
  <c r="AE131" i="1"/>
  <c r="AD131" i="1"/>
  <c r="AC131" i="1"/>
  <c r="AB131" i="1"/>
  <c r="AA131" i="1"/>
  <c r="Z131" i="1"/>
  <c r="Y131" i="1"/>
  <c r="W131" i="1"/>
  <c r="AH130" i="1"/>
  <c r="AG130" i="1"/>
  <c r="AF130" i="1"/>
  <c r="AE130" i="1"/>
  <c r="AD130" i="1"/>
  <c r="AC130" i="1"/>
  <c r="AB130" i="1"/>
  <c r="AA130" i="1"/>
  <c r="Z130" i="1"/>
  <c r="Y130" i="1"/>
  <c r="W130" i="1"/>
  <c r="AH129" i="1"/>
  <c r="AG129" i="1"/>
  <c r="AF129" i="1"/>
  <c r="AE129" i="1"/>
  <c r="AD129" i="1"/>
  <c r="AC129" i="1"/>
  <c r="AB129" i="1"/>
  <c r="AA129" i="1"/>
  <c r="Z129" i="1"/>
  <c r="Y129" i="1"/>
  <c r="W129" i="1"/>
  <c r="AH128" i="1"/>
  <c r="AG128" i="1"/>
  <c r="AF128" i="1"/>
  <c r="AE128" i="1"/>
  <c r="AD128" i="1"/>
  <c r="AC128" i="1"/>
  <c r="AB128" i="1"/>
  <c r="AA128" i="1"/>
  <c r="Z128" i="1"/>
  <c r="Y128" i="1"/>
  <c r="W128" i="1"/>
  <c r="AH127" i="1"/>
  <c r="AG127" i="1"/>
  <c r="AF127" i="1"/>
  <c r="AE127" i="1"/>
  <c r="AD127" i="1"/>
  <c r="AC127" i="1"/>
  <c r="AB127" i="1"/>
  <c r="AA127" i="1"/>
  <c r="Z127" i="1"/>
  <c r="Y127" i="1"/>
  <c r="W127" i="1"/>
  <c r="AH126" i="1"/>
  <c r="AG126" i="1"/>
  <c r="AF126" i="1"/>
  <c r="AE126" i="1"/>
  <c r="AD126" i="1"/>
  <c r="AC126" i="1"/>
  <c r="AB126" i="1"/>
  <c r="AA126" i="1"/>
  <c r="Z126" i="1"/>
  <c r="Y126" i="1"/>
  <c r="W126" i="1"/>
  <c r="AG125" i="1"/>
  <c r="AF125" i="1"/>
  <c r="AE125" i="1"/>
  <c r="AD125" i="1"/>
  <c r="AB125" i="1"/>
  <c r="AA125" i="1"/>
  <c r="Z125" i="1"/>
  <c r="Y125" i="1"/>
  <c r="W125" i="1"/>
  <c r="C125" i="1"/>
  <c r="AH125" i="1" s="1"/>
  <c r="AG124" i="1"/>
  <c r="AF124" i="1"/>
  <c r="AE124" i="1"/>
  <c r="AD124" i="1"/>
  <c r="AB124" i="1"/>
  <c r="AA124" i="1"/>
  <c r="Z124" i="1"/>
  <c r="Y124" i="1"/>
  <c r="W124" i="1"/>
  <c r="I124" i="1"/>
  <c r="AC124" i="1" s="1"/>
  <c r="C124" i="1"/>
  <c r="AH124" i="1" s="1"/>
  <c r="AG123" i="1"/>
  <c r="AF123" i="1"/>
  <c r="AE123" i="1"/>
  <c r="AD123" i="1"/>
  <c r="AB123" i="1"/>
  <c r="AA123" i="1"/>
  <c r="Z123" i="1"/>
  <c r="Y123" i="1"/>
  <c r="W123" i="1"/>
  <c r="C123" i="1"/>
  <c r="AH123" i="1" s="1"/>
  <c r="AH122" i="1"/>
  <c r="AG122" i="1"/>
  <c r="AF122" i="1"/>
  <c r="AE122" i="1"/>
  <c r="AD122" i="1"/>
  <c r="AB122" i="1"/>
  <c r="AA122" i="1"/>
  <c r="Z122" i="1"/>
  <c r="Y122" i="1"/>
  <c r="W122" i="1"/>
  <c r="AG121" i="1"/>
  <c r="AF121" i="1"/>
  <c r="AE121" i="1"/>
  <c r="AD121" i="1"/>
  <c r="AB121" i="1"/>
  <c r="AA121" i="1"/>
  <c r="Z121" i="1"/>
  <c r="Y121" i="1"/>
  <c r="W121" i="1"/>
  <c r="C121" i="1"/>
  <c r="AH121" i="1" s="1"/>
  <c r="AH120" i="1"/>
  <c r="AG120" i="1"/>
  <c r="AF120" i="1"/>
  <c r="AE120" i="1"/>
  <c r="AD120" i="1"/>
  <c r="AB120" i="1"/>
  <c r="AA120" i="1"/>
  <c r="Z120" i="1"/>
  <c r="Y120" i="1"/>
  <c r="W120" i="1"/>
  <c r="C120" i="1"/>
  <c r="AG119" i="1"/>
  <c r="AF119" i="1"/>
  <c r="AE119" i="1"/>
  <c r="AD119" i="1"/>
  <c r="AB119" i="1"/>
  <c r="AA119" i="1"/>
  <c r="Z119" i="1"/>
  <c r="Y119" i="1"/>
  <c r="W119" i="1"/>
  <c r="C119" i="1"/>
  <c r="AH119" i="1" s="1"/>
  <c r="AG118" i="1"/>
  <c r="AF118" i="1"/>
  <c r="AE118" i="1"/>
  <c r="AD118" i="1"/>
  <c r="AB118" i="1"/>
  <c r="AA118" i="1"/>
  <c r="Z118" i="1"/>
  <c r="Y118" i="1"/>
  <c r="W118" i="1"/>
  <c r="C118" i="1"/>
  <c r="AH118" i="1" s="1"/>
  <c r="AG117" i="1"/>
  <c r="AF117" i="1"/>
  <c r="AE117" i="1"/>
  <c r="AD117" i="1"/>
  <c r="AB117" i="1"/>
  <c r="AA117" i="1"/>
  <c r="Z117" i="1"/>
  <c r="Y117" i="1"/>
  <c r="W117" i="1"/>
  <c r="C117" i="1"/>
  <c r="AH117" i="1" s="1"/>
  <c r="AG116" i="1"/>
  <c r="AF116" i="1"/>
  <c r="AE116" i="1"/>
  <c r="AD116" i="1"/>
  <c r="AB116" i="1"/>
  <c r="AA116" i="1"/>
  <c r="Z116" i="1"/>
  <c r="Y116" i="1"/>
  <c r="W116" i="1"/>
  <c r="C116" i="1"/>
  <c r="AH116" i="1" s="1"/>
  <c r="AG115" i="1"/>
  <c r="AF115" i="1"/>
  <c r="AE115" i="1"/>
  <c r="AD115" i="1"/>
  <c r="AB115" i="1"/>
  <c r="AA115" i="1"/>
  <c r="Z115" i="1"/>
  <c r="Y115" i="1"/>
  <c r="W115" i="1"/>
  <c r="C115" i="1"/>
  <c r="AH115" i="1" s="1"/>
  <c r="AG114" i="1"/>
  <c r="AF114" i="1"/>
  <c r="AE114" i="1"/>
  <c r="AD114" i="1"/>
  <c r="AB114" i="1"/>
  <c r="AA114" i="1"/>
  <c r="Z114" i="1"/>
  <c r="Y114" i="1"/>
  <c r="W114" i="1"/>
  <c r="C114" i="1"/>
  <c r="AH114" i="1" s="1"/>
  <c r="AG113" i="1"/>
  <c r="AF113" i="1"/>
  <c r="AE113" i="1"/>
  <c r="AD113" i="1"/>
  <c r="AB113" i="1"/>
  <c r="AA113" i="1"/>
  <c r="Z113" i="1"/>
  <c r="Y113" i="1"/>
  <c r="W113" i="1"/>
  <c r="C113" i="1"/>
  <c r="AH113" i="1" s="1"/>
  <c r="AG112" i="1"/>
  <c r="AF112" i="1"/>
  <c r="AE112" i="1"/>
  <c r="AD112" i="1"/>
  <c r="AB112" i="1"/>
  <c r="AA112" i="1"/>
  <c r="Z112" i="1"/>
  <c r="Y112" i="1"/>
  <c r="W112" i="1"/>
  <c r="C112" i="1"/>
  <c r="AH112" i="1" s="1"/>
  <c r="AG111" i="1"/>
  <c r="AF111" i="1"/>
  <c r="AE111" i="1"/>
  <c r="AD111" i="1"/>
  <c r="AB111" i="1"/>
  <c r="AA111" i="1"/>
  <c r="Z111" i="1"/>
  <c r="Y111" i="1"/>
  <c r="W111" i="1"/>
  <c r="C111" i="1"/>
  <c r="AH111" i="1" s="1"/>
  <c r="AG110" i="1"/>
  <c r="AF110" i="1"/>
  <c r="AE110" i="1"/>
  <c r="AD110" i="1"/>
  <c r="AB110" i="1"/>
  <c r="AA110" i="1"/>
  <c r="Z110" i="1"/>
  <c r="Y110" i="1"/>
  <c r="W110" i="1"/>
  <c r="C110" i="1"/>
  <c r="AH110" i="1" s="1"/>
  <c r="AG109" i="1"/>
  <c r="AF109" i="1"/>
  <c r="AE109" i="1"/>
  <c r="AD109" i="1"/>
  <c r="AB109" i="1"/>
  <c r="AA109" i="1"/>
  <c r="Z109" i="1"/>
  <c r="Y109" i="1"/>
  <c r="W109" i="1"/>
  <c r="C109" i="1"/>
  <c r="AH109" i="1" s="1"/>
  <c r="AK103" i="1"/>
  <c r="AH103" i="1"/>
  <c r="AG103" i="1"/>
  <c r="AF103" i="1"/>
  <c r="AE103" i="1"/>
  <c r="AD103" i="1"/>
  <c r="AC103" i="1"/>
  <c r="AB103" i="1"/>
  <c r="AA103" i="1"/>
  <c r="Z103" i="1"/>
  <c r="Y103" i="1"/>
  <c r="W103" i="1"/>
  <c r="AH102" i="1"/>
  <c r="AG102" i="1"/>
  <c r="AF102" i="1"/>
  <c r="AE102" i="1"/>
  <c r="AD102" i="1"/>
  <c r="AC102" i="1"/>
  <c r="AB102" i="1"/>
  <c r="AA102" i="1"/>
  <c r="Z102" i="1"/>
  <c r="Y102" i="1"/>
  <c r="W102" i="1"/>
  <c r="AK101" i="1"/>
  <c r="AH101" i="1"/>
  <c r="AG101" i="1"/>
  <c r="AF101" i="1"/>
  <c r="AE101" i="1"/>
  <c r="AD101" i="1"/>
  <c r="AC101" i="1"/>
  <c r="AB101" i="1"/>
  <c r="AA101" i="1"/>
  <c r="Z101" i="1"/>
  <c r="Y101" i="1"/>
  <c r="W101" i="1"/>
  <c r="AH100" i="1"/>
  <c r="AG100" i="1"/>
  <c r="AF100" i="1"/>
  <c r="AE100" i="1"/>
  <c r="AD100" i="1"/>
  <c r="AC100" i="1"/>
  <c r="AB100" i="1"/>
  <c r="AA100" i="1"/>
  <c r="Z100" i="1"/>
  <c r="Y100" i="1"/>
  <c r="W100" i="1"/>
  <c r="AH99" i="1"/>
  <c r="AG99" i="1"/>
  <c r="AF99" i="1"/>
  <c r="AE99" i="1"/>
  <c r="AD99" i="1"/>
  <c r="AC99" i="1"/>
  <c r="AB99" i="1"/>
  <c r="AA99" i="1"/>
  <c r="Z99" i="1"/>
  <c r="Y99" i="1"/>
  <c r="W99" i="1"/>
  <c r="AG98" i="1"/>
  <c r="AF98" i="1"/>
  <c r="AE98" i="1"/>
  <c r="AD98" i="1"/>
  <c r="AC98" i="1"/>
  <c r="AB98" i="1"/>
  <c r="AA98" i="1"/>
  <c r="Y98" i="1"/>
  <c r="W98" i="1"/>
  <c r="F98" i="1"/>
  <c r="Z98" i="1" s="1"/>
  <c r="C98" i="1"/>
  <c r="AH98" i="1" s="1"/>
  <c r="AK97" i="1"/>
  <c r="AG97" i="1"/>
  <c r="AF97" i="1"/>
  <c r="AE97" i="1"/>
  <c r="AD97" i="1"/>
  <c r="AB97" i="1"/>
  <c r="Y97" i="1"/>
  <c r="W97" i="1"/>
  <c r="I97" i="1"/>
  <c r="AC97" i="1" s="1"/>
  <c r="F97" i="1"/>
  <c r="Z97" i="1" s="1"/>
  <c r="C97" i="1"/>
  <c r="AH97" i="1" s="1"/>
  <c r="AH96" i="1"/>
  <c r="AG96" i="1"/>
  <c r="AF96" i="1"/>
  <c r="AE96" i="1"/>
  <c r="AD96" i="1"/>
  <c r="AB96" i="1"/>
  <c r="Y96" i="1"/>
  <c r="W96" i="1"/>
  <c r="I96" i="1"/>
  <c r="AC96" i="1" s="1"/>
  <c r="F96" i="1"/>
  <c r="Z96" i="1" s="1"/>
  <c r="C96" i="1"/>
  <c r="AI95" i="1"/>
  <c r="AH95" i="1"/>
  <c r="AG95" i="1"/>
  <c r="AF95" i="1"/>
  <c r="AE95" i="1"/>
  <c r="AD95" i="1"/>
  <c r="AB95" i="1"/>
  <c r="Y95" i="1"/>
  <c r="W95" i="1"/>
  <c r="F95" i="1"/>
  <c r="Z95" i="1" s="1"/>
  <c r="AI94" i="1"/>
  <c r="AH94" i="1"/>
  <c r="AG94" i="1"/>
  <c r="AF94" i="1"/>
  <c r="AE94" i="1"/>
  <c r="AD94" i="1"/>
  <c r="AB94" i="1"/>
  <c r="Y94" i="1"/>
  <c r="W94" i="1"/>
  <c r="F94" i="1"/>
  <c r="Z94" i="1" s="1"/>
  <c r="AI93" i="1"/>
  <c r="AG93" i="1"/>
  <c r="AF93" i="1"/>
  <c r="AE93" i="1"/>
  <c r="AD93" i="1"/>
  <c r="AB93" i="1"/>
  <c r="Y93" i="1"/>
  <c r="W93" i="1"/>
  <c r="G93" i="1"/>
  <c r="AA93" i="1" s="1"/>
  <c r="F93" i="1"/>
  <c r="Z93" i="1" s="1"/>
  <c r="C93" i="1"/>
  <c r="AH93" i="1" s="1"/>
  <c r="AG92" i="1"/>
  <c r="AF92" i="1"/>
  <c r="AE92" i="1"/>
  <c r="AD92" i="1"/>
  <c r="AB92" i="1"/>
  <c r="Y92" i="1"/>
  <c r="W92" i="1"/>
  <c r="F92" i="1"/>
  <c r="Z92" i="1" s="1"/>
  <c r="C92" i="1"/>
  <c r="AH92" i="1" s="1"/>
  <c r="AI91" i="1"/>
  <c r="AG91" i="1"/>
  <c r="AF91" i="1"/>
  <c r="AE91" i="1"/>
  <c r="AD91" i="1"/>
  <c r="AB91" i="1"/>
  <c r="Y91" i="1"/>
  <c r="W91" i="1"/>
  <c r="F91" i="1"/>
  <c r="Z91" i="1" s="1"/>
  <c r="C91" i="1"/>
  <c r="AH91" i="1" s="1"/>
  <c r="AG90" i="1"/>
  <c r="AF90" i="1"/>
  <c r="AE90" i="1"/>
  <c r="AD90" i="1"/>
  <c r="AB90" i="1"/>
  <c r="Y90" i="1"/>
  <c r="W90" i="1"/>
  <c r="F90" i="1"/>
  <c r="Z90" i="1" s="1"/>
  <c r="C90" i="1"/>
  <c r="AH90" i="1" s="1"/>
  <c r="AG89" i="1"/>
  <c r="AF89" i="1"/>
  <c r="AE89" i="1"/>
  <c r="AD89" i="1"/>
  <c r="AB89" i="1"/>
  <c r="Y89" i="1"/>
  <c r="W89" i="1"/>
  <c r="F89" i="1"/>
  <c r="Z89" i="1" s="1"/>
  <c r="C89" i="1"/>
  <c r="AH89" i="1" s="1"/>
  <c r="AK88" i="1"/>
  <c r="AG88" i="1"/>
  <c r="AF88" i="1"/>
  <c r="AE88" i="1"/>
  <c r="AD88" i="1"/>
  <c r="AB88" i="1"/>
  <c r="Y88" i="1"/>
  <c r="W88" i="1"/>
  <c r="F88" i="1"/>
  <c r="Z88" i="1" s="1"/>
  <c r="C88" i="1"/>
  <c r="AH88" i="1" s="1"/>
  <c r="AK87" i="1"/>
  <c r="AG87" i="1"/>
  <c r="AF87" i="1"/>
  <c r="AE87" i="1"/>
  <c r="AD87" i="1"/>
  <c r="AB87" i="1"/>
  <c r="Y87" i="1"/>
  <c r="W87" i="1"/>
  <c r="G87" i="1"/>
  <c r="AA87" i="1" s="1"/>
  <c r="F87" i="1"/>
  <c r="Z87" i="1" s="1"/>
  <c r="C87" i="1"/>
  <c r="AH87" i="1" s="1"/>
  <c r="AH86" i="1"/>
  <c r="AG86" i="1"/>
  <c r="AF86" i="1"/>
  <c r="AE86" i="1"/>
  <c r="AD86" i="1"/>
  <c r="AB86" i="1"/>
  <c r="Y86" i="1"/>
  <c r="W86" i="1"/>
  <c r="F86" i="1"/>
  <c r="Z86" i="1" s="1"/>
  <c r="C86" i="1"/>
  <c r="E83" i="1"/>
  <c r="X109" i="1" s="1"/>
  <c r="D83" i="1"/>
  <c r="X102" i="1" s="1"/>
  <c r="E82" i="1"/>
  <c r="AJ126" i="1" s="1"/>
  <c r="E81" i="1"/>
  <c r="AK135" i="1" s="1"/>
  <c r="E79" i="1"/>
  <c r="F78" i="1"/>
  <c r="E135" i="1" s="1"/>
  <c r="Z135" i="1" s="1"/>
  <c r="E78" i="1"/>
  <c r="AI125" i="1" s="1"/>
  <c r="M77" i="1"/>
  <c r="M78" i="1" s="1"/>
  <c r="AL86" i="1" s="1"/>
  <c r="E77" i="1"/>
  <c r="I76" i="1"/>
  <c r="G96" i="1" s="1"/>
  <c r="AA96" i="1" s="1"/>
  <c r="M72" i="1"/>
  <c r="H135" i="1" s="1"/>
  <c r="AB135" i="1" s="1"/>
  <c r="E72" i="1"/>
  <c r="AH67" i="1"/>
  <c r="AG67" i="1"/>
  <c r="AF67" i="1"/>
  <c r="AE67" i="1"/>
  <c r="AD67" i="1"/>
  <c r="W67" i="1"/>
  <c r="AH64" i="1"/>
  <c r="AG64" i="1"/>
  <c r="AF64" i="1"/>
  <c r="AE64" i="1"/>
  <c r="AD64" i="1"/>
  <c r="AC64" i="1"/>
  <c r="AB64" i="1"/>
  <c r="AA64" i="1"/>
  <c r="Z64" i="1"/>
  <c r="Y64" i="1"/>
  <c r="W64" i="1"/>
  <c r="AH63" i="1"/>
  <c r="AG63" i="1"/>
  <c r="AF63" i="1"/>
  <c r="AE63" i="1"/>
  <c r="AD63" i="1"/>
  <c r="AC63" i="1"/>
  <c r="AB63" i="1"/>
  <c r="AA63" i="1"/>
  <c r="Z63" i="1"/>
  <c r="Y63" i="1"/>
  <c r="W63" i="1"/>
  <c r="AH62" i="1"/>
  <c r="AG62" i="1"/>
  <c r="AF62" i="1"/>
  <c r="AE62" i="1"/>
  <c r="AD62" i="1"/>
  <c r="AC62" i="1"/>
  <c r="AB62" i="1"/>
  <c r="AA62" i="1"/>
  <c r="Z62" i="1"/>
  <c r="Y62" i="1"/>
  <c r="W62" i="1"/>
  <c r="AH61" i="1"/>
  <c r="AG61" i="1"/>
  <c r="AF61" i="1"/>
  <c r="AE61" i="1"/>
  <c r="AD61" i="1"/>
  <c r="AC61" i="1"/>
  <c r="AB61" i="1"/>
  <c r="AA61" i="1"/>
  <c r="Z61" i="1"/>
  <c r="Y61" i="1"/>
  <c r="W61" i="1"/>
  <c r="AH60" i="1"/>
  <c r="AG60" i="1"/>
  <c r="AF60" i="1"/>
  <c r="AE60" i="1"/>
  <c r="AD60" i="1"/>
  <c r="AC60" i="1"/>
  <c r="AB60" i="1"/>
  <c r="AA60" i="1"/>
  <c r="Z60" i="1"/>
  <c r="Y60" i="1"/>
  <c r="W60" i="1"/>
  <c r="AH59" i="1"/>
  <c r="AG59" i="1"/>
  <c r="AF59" i="1"/>
  <c r="AE59" i="1"/>
  <c r="AD59" i="1"/>
  <c r="AC59" i="1"/>
  <c r="AB59" i="1"/>
  <c r="AA59" i="1"/>
  <c r="Z59" i="1"/>
  <c r="Y59" i="1"/>
  <c r="W59" i="1"/>
  <c r="AH58" i="1"/>
  <c r="AG58" i="1"/>
  <c r="AF58" i="1"/>
  <c r="AE58" i="1"/>
  <c r="AD58" i="1"/>
  <c r="AC58" i="1"/>
  <c r="AB58" i="1"/>
  <c r="AA58" i="1"/>
  <c r="Z58" i="1"/>
  <c r="Y58" i="1"/>
  <c r="W58" i="1"/>
  <c r="AG57" i="1"/>
  <c r="AF57" i="1"/>
  <c r="AE57" i="1"/>
  <c r="AD57" i="1"/>
  <c r="AB57" i="1"/>
  <c r="AA57" i="1"/>
  <c r="Z57" i="1"/>
  <c r="Y57" i="1"/>
  <c r="W57" i="1"/>
  <c r="C57" i="1"/>
  <c r="AH57" i="1" s="1"/>
  <c r="AG56" i="1"/>
  <c r="AF56" i="1"/>
  <c r="AE56" i="1"/>
  <c r="AD56" i="1"/>
  <c r="AB56" i="1"/>
  <c r="AA56" i="1"/>
  <c r="Z56" i="1"/>
  <c r="Y56" i="1"/>
  <c r="W56" i="1"/>
  <c r="I56" i="1"/>
  <c r="AC56" i="1" s="1"/>
  <c r="C56" i="1"/>
  <c r="AH56" i="1" s="1"/>
  <c r="AG55" i="1"/>
  <c r="AF55" i="1"/>
  <c r="AE55" i="1"/>
  <c r="AD55" i="1"/>
  <c r="AB55" i="1"/>
  <c r="AA55" i="1"/>
  <c r="Z55" i="1"/>
  <c r="Y55" i="1"/>
  <c r="W55" i="1"/>
  <c r="C55" i="1"/>
  <c r="AH55" i="1" s="1"/>
  <c r="AH54" i="1"/>
  <c r="AG54" i="1"/>
  <c r="AF54" i="1"/>
  <c r="AE54" i="1"/>
  <c r="AD54" i="1"/>
  <c r="AB54" i="1"/>
  <c r="AA54" i="1"/>
  <c r="Z54" i="1"/>
  <c r="Y54" i="1"/>
  <c r="W54" i="1"/>
  <c r="AH53" i="1"/>
  <c r="AG53" i="1"/>
  <c r="AF53" i="1"/>
  <c r="AE53" i="1"/>
  <c r="AD53" i="1"/>
  <c r="AB53" i="1"/>
  <c r="AA53" i="1"/>
  <c r="Z53" i="1"/>
  <c r="Y53" i="1"/>
  <c r="W53" i="1"/>
  <c r="C53" i="1"/>
  <c r="AK52" i="1"/>
  <c r="AG52" i="1"/>
  <c r="AF52" i="1"/>
  <c r="AE52" i="1"/>
  <c r="AD52" i="1"/>
  <c r="AB52" i="1"/>
  <c r="AA52" i="1"/>
  <c r="Z52" i="1"/>
  <c r="Y52" i="1"/>
  <c r="W52" i="1"/>
  <c r="C52" i="1"/>
  <c r="AH52" i="1" s="1"/>
  <c r="AG51" i="1"/>
  <c r="AF51" i="1"/>
  <c r="AE51" i="1"/>
  <c r="AD51" i="1"/>
  <c r="AB51" i="1"/>
  <c r="AA51" i="1"/>
  <c r="Z51" i="1"/>
  <c r="Y51" i="1"/>
  <c r="W51" i="1"/>
  <c r="C51" i="1"/>
  <c r="AH51" i="1" s="1"/>
  <c r="AG50" i="1"/>
  <c r="AF50" i="1"/>
  <c r="AE50" i="1"/>
  <c r="AD50" i="1"/>
  <c r="AB50" i="1"/>
  <c r="AA50" i="1"/>
  <c r="Z50" i="1"/>
  <c r="Y50" i="1"/>
  <c r="W50" i="1"/>
  <c r="C50" i="1"/>
  <c r="AH50" i="1" s="1"/>
  <c r="AG49" i="1"/>
  <c r="AF49" i="1"/>
  <c r="AE49" i="1"/>
  <c r="AD49" i="1"/>
  <c r="AB49" i="1"/>
  <c r="AA49" i="1"/>
  <c r="Z49" i="1"/>
  <c r="Y49" i="1"/>
  <c r="W49" i="1"/>
  <c r="C49" i="1"/>
  <c r="AH49" i="1" s="1"/>
  <c r="AG48" i="1"/>
  <c r="AF48" i="1"/>
  <c r="AE48" i="1"/>
  <c r="AD48" i="1"/>
  <c r="AB48" i="1"/>
  <c r="AA48" i="1"/>
  <c r="Z48" i="1"/>
  <c r="Y48" i="1"/>
  <c r="W48" i="1"/>
  <c r="C48" i="1"/>
  <c r="AH48" i="1" s="1"/>
  <c r="AG47" i="1"/>
  <c r="AF47" i="1"/>
  <c r="AE47" i="1"/>
  <c r="AD47" i="1"/>
  <c r="AB47" i="1"/>
  <c r="AA47" i="1"/>
  <c r="Z47" i="1"/>
  <c r="Y47" i="1"/>
  <c r="W47" i="1"/>
  <c r="C47" i="1"/>
  <c r="AH47" i="1" s="1"/>
  <c r="AK46" i="1"/>
  <c r="AG46" i="1"/>
  <c r="AF46" i="1"/>
  <c r="AE46" i="1"/>
  <c r="AD46" i="1"/>
  <c r="AB46" i="1"/>
  <c r="AA46" i="1"/>
  <c r="Z46" i="1"/>
  <c r="Y46" i="1"/>
  <c r="W46" i="1"/>
  <c r="C46" i="1"/>
  <c r="AH46" i="1" s="1"/>
  <c r="AG45" i="1"/>
  <c r="AF45" i="1"/>
  <c r="AE45" i="1"/>
  <c r="AD45" i="1"/>
  <c r="AB45" i="1"/>
  <c r="AA45" i="1"/>
  <c r="Z45" i="1"/>
  <c r="Y45" i="1"/>
  <c r="W45" i="1"/>
  <c r="C45" i="1"/>
  <c r="AH45" i="1" s="1"/>
  <c r="AH44" i="1"/>
  <c r="AG44" i="1"/>
  <c r="AF44" i="1"/>
  <c r="AE44" i="1"/>
  <c r="AD44" i="1"/>
  <c r="AB44" i="1"/>
  <c r="AA44" i="1"/>
  <c r="Z44" i="1"/>
  <c r="Y44" i="1"/>
  <c r="W44" i="1"/>
  <c r="I44" i="1"/>
  <c r="AC44" i="1" s="1"/>
  <c r="C44" i="1"/>
  <c r="AG43" i="1"/>
  <c r="AF43" i="1"/>
  <c r="AE43" i="1"/>
  <c r="AD43" i="1"/>
  <c r="AB43" i="1"/>
  <c r="AA43" i="1"/>
  <c r="Z43" i="1"/>
  <c r="Y43" i="1"/>
  <c r="W43" i="1"/>
  <c r="C43" i="1"/>
  <c r="AH43" i="1" s="1"/>
  <c r="AH42" i="1"/>
  <c r="AG42" i="1"/>
  <c r="AF42" i="1"/>
  <c r="AE42" i="1"/>
  <c r="AD42" i="1"/>
  <c r="AB42" i="1"/>
  <c r="AA42" i="1"/>
  <c r="Z42" i="1"/>
  <c r="Y42" i="1"/>
  <c r="W42" i="1"/>
  <c r="C42" i="1"/>
  <c r="AG41" i="1"/>
  <c r="AF41" i="1"/>
  <c r="AE41" i="1"/>
  <c r="AD41" i="1"/>
  <c r="AB41" i="1"/>
  <c r="AA41" i="1"/>
  <c r="Z41" i="1"/>
  <c r="Y41" i="1"/>
  <c r="W41" i="1"/>
  <c r="C41" i="1"/>
  <c r="AH41" i="1" s="1"/>
  <c r="AH35" i="1"/>
  <c r="AG35" i="1"/>
  <c r="AF35" i="1"/>
  <c r="AE35" i="1"/>
  <c r="AD35" i="1"/>
  <c r="AC35" i="1"/>
  <c r="AB35" i="1"/>
  <c r="AA35" i="1"/>
  <c r="Z35" i="1"/>
  <c r="Y35" i="1"/>
  <c r="W35" i="1"/>
  <c r="AH34" i="1"/>
  <c r="AG34" i="1"/>
  <c r="AF34" i="1"/>
  <c r="AE34" i="1"/>
  <c r="AD34" i="1"/>
  <c r="AC34" i="1"/>
  <c r="AB34" i="1"/>
  <c r="AA34" i="1"/>
  <c r="Z34" i="1"/>
  <c r="Y34" i="1"/>
  <c r="W34" i="1"/>
  <c r="AH33" i="1"/>
  <c r="AG33" i="1"/>
  <c r="AF33" i="1"/>
  <c r="AE33" i="1"/>
  <c r="AD33" i="1"/>
  <c r="AC33" i="1"/>
  <c r="AB33" i="1"/>
  <c r="AA33" i="1"/>
  <c r="Z33" i="1"/>
  <c r="Y33" i="1"/>
  <c r="W33" i="1"/>
  <c r="AH32" i="1"/>
  <c r="AG32" i="1"/>
  <c r="AF32" i="1"/>
  <c r="AE32" i="1"/>
  <c r="AD32" i="1"/>
  <c r="AC32" i="1"/>
  <c r="AB32" i="1"/>
  <c r="AA32" i="1"/>
  <c r="Z32" i="1"/>
  <c r="Y32" i="1"/>
  <c r="W32" i="1"/>
  <c r="AH31" i="1"/>
  <c r="AG31" i="1"/>
  <c r="AF31" i="1"/>
  <c r="AE31" i="1"/>
  <c r="AD31" i="1"/>
  <c r="AC31" i="1"/>
  <c r="AB31" i="1"/>
  <c r="AA31" i="1"/>
  <c r="Z31" i="1"/>
  <c r="Y31" i="1"/>
  <c r="W31" i="1"/>
  <c r="AG30" i="1"/>
  <c r="AF30" i="1"/>
  <c r="AE30" i="1"/>
  <c r="AD30" i="1"/>
  <c r="AC30" i="1"/>
  <c r="AB30" i="1"/>
  <c r="AA30" i="1"/>
  <c r="Y30" i="1"/>
  <c r="W30" i="1"/>
  <c r="F30" i="1"/>
  <c r="Z30" i="1" s="1"/>
  <c r="C30" i="1"/>
  <c r="AH30" i="1" s="1"/>
  <c r="AG29" i="1"/>
  <c r="AF29" i="1"/>
  <c r="AE29" i="1"/>
  <c r="AD29" i="1"/>
  <c r="AB29" i="1"/>
  <c r="Z29" i="1"/>
  <c r="Y29" i="1"/>
  <c r="W29" i="1"/>
  <c r="I29" i="1"/>
  <c r="AC29" i="1" s="1"/>
  <c r="F29" i="1"/>
  <c r="C29" i="1"/>
  <c r="AH29" i="1" s="1"/>
  <c r="AI28" i="1"/>
  <c r="AG28" i="1"/>
  <c r="AF28" i="1"/>
  <c r="AE28" i="1"/>
  <c r="AD28" i="1"/>
  <c r="AC28" i="1"/>
  <c r="AB28" i="1"/>
  <c r="Y28" i="1"/>
  <c r="W28" i="1"/>
  <c r="I28" i="1"/>
  <c r="F28" i="1"/>
  <c r="Z28" i="1" s="1"/>
  <c r="C28" i="1"/>
  <c r="AH28" i="1" s="1"/>
  <c r="AH27" i="1"/>
  <c r="AG27" i="1"/>
  <c r="AF27" i="1"/>
  <c r="AE27" i="1"/>
  <c r="AD27" i="1"/>
  <c r="AB27" i="1"/>
  <c r="Y27" i="1"/>
  <c r="W27" i="1"/>
  <c r="I27" i="1"/>
  <c r="AC27" i="1" s="1"/>
  <c r="F27" i="1"/>
  <c r="Z27" i="1" s="1"/>
  <c r="AH26" i="1"/>
  <c r="AG26" i="1"/>
  <c r="AF26" i="1"/>
  <c r="AE26" i="1"/>
  <c r="AD26" i="1"/>
  <c r="AB26" i="1"/>
  <c r="Z26" i="1"/>
  <c r="Y26" i="1"/>
  <c r="W26" i="1"/>
  <c r="I26" i="1"/>
  <c r="AC26" i="1" s="1"/>
  <c r="F26" i="1"/>
  <c r="AG25" i="1"/>
  <c r="AF25" i="1"/>
  <c r="AE25" i="1"/>
  <c r="AD25" i="1"/>
  <c r="AB25" i="1"/>
  <c r="Y25" i="1"/>
  <c r="W25" i="1"/>
  <c r="F25" i="1"/>
  <c r="Z25" i="1" s="1"/>
  <c r="C25" i="1"/>
  <c r="AH25" i="1" s="1"/>
  <c r="AK24" i="1"/>
  <c r="AG24" i="1"/>
  <c r="AF24" i="1"/>
  <c r="AE24" i="1"/>
  <c r="AD24" i="1"/>
  <c r="AB24" i="1"/>
  <c r="Y24" i="1"/>
  <c r="W24" i="1"/>
  <c r="G24" i="1"/>
  <c r="AA24" i="1" s="1"/>
  <c r="F24" i="1"/>
  <c r="Z24" i="1" s="1"/>
  <c r="C24" i="1"/>
  <c r="AH24" i="1" s="1"/>
  <c r="AG23" i="1"/>
  <c r="AF23" i="1"/>
  <c r="AE23" i="1"/>
  <c r="AD23" i="1"/>
  <c r="AB23" i="1"/>
  <c r="Y23" i="1"/>
  <c r="W23" i="1"/>
  <c r="F23" i="1"/>
  <c r="Z23" i="1" s="1"/>
  <c r="C23" i="1"/>
  <c r="AH23" i="1" s="1"/>
  <c r="AG22" i="1"/>
  <c r="AF22" i="1"/>
  <c r="AE22" i="1"/>
  <c r="AD22" i="1"/>
  <c r="AB22" i="1"/>
  <c r="Y22" i="1"/>
  <c r="W22" i="1"/>
  <c r="F22" i="1"/>
  <c r="Z22" i="1" s="1"/>
  <c r="C22" i="1"/>
  <c r="AH22" i="1" s="1"/>
  <c r="AG21" i="1"/>
  <c r="AF21" i="1"/>
  <c r="AE21" i="1"/>
  <c r="AD21" i="1"/>
  <c r="AB21" i="1"/>
  <c r="Y21" i="1"/>
  <c r="W21" i="1"/>
  <c r="F21" i="1"/>
  <c r="Z21" i="1" s="1"/>
  <c r="C21" i="1"/>
  <c r="AH21" i="1" s="1"/>
  <c r="AK20" i="1"/>
  <c r="AG20" i="1"/>
  <c r="AF20" i="1"/>
  <c r="AE20" i="1"/>
  <c r="AD20" i="1"/>
  <c r="AB20" i="1"/>
  <c r="Y20" i="1"/>
  <c r="W20" i="1"/>
  <c r="F20" i="1"/>
  <c r="Z20" i="1" s="1"/>
  <c r="C20" i="1"/>
  <c r="AH20" i="1" s="1"/>
  <c r="AG19" i="1"/>
  <c r="AF19" i="1"/>
  <c r="AE19" i="1"/>
  <c r="AD19" i="1"/>
  <c r="AB19" i="1"/>
  <c r="Y19" i="1"/>
  <c r="W19" i="1"/>
  <c r="F19" i="1"/>
  <c r="Z19" i="1" s="1"/>
  <c r="C19" i="1"/>
  <c r="AH19" i="1" s="1"/>
  <c r="AK18" i="1"/>
  <c r="AG18" i="1"/>
  <c r="AF18" i="1"/>
  <c r="AE18" i="1"/>
  <c r="AD18" i="1"/>
  <c r="AB18" i="1"/>
  <c r="Y18" i="1"/>
  <c r="W18" i="1"/>
  <c r="F18" i="1"/>
  <c r="Z18" i="1" s="1"/>
  <c r="C18" i="1"/>
  <c r="AH18" i="1" s="1"/>
  <c r="E15" i="1"/>
  <c r="D15" i="1"/>
  <c r="E14" i="1"/>
  <c r="AJ33" i="1" s="1"/>
  <c r="E13" i="1"/>
  <c r="AK67" i="1" s="1"/>
  <c r="E11" i="1"/>
  <c r="I45" i="1" s="1"/>
  <c r="AC45" i="1" s="1"/>
  <c r="M10" i="1"/>
  <c r="F10" i="1"/>
  <c r="E67" i="1" s="1"/>
  <c r="Z67" i="1" s="1"/>
  <c r="E10" i="1"/>
  <c r="AI47" i="1" s="1"/>
  <c r="M9" i="1"/>
  <c r="E9" i="1"/>
  <c r="I8" i="1"/>
  <c r="I51" i="1" s="1"/>
  <c r="AC51" i="1" s="1"/>
  <c r="M4" i="1"/>
  <c r="G27" i="1" s="1"/>
  <c r="AA27" i="1" s="1"/>
  <c r="E4" i="1"/>
  <c r="I86" i="1" l="1"/>
  <c r="AC86" i="1" s="1"/>
  <c r="I109" i="1"/>
  <c r="AC109" i="1" s="1"/>
  <c r="I90" i="1"/>
  <c r="AC90" i="1" s="1"/>
  <c r="AJ61" i="1"/>
  <c r="AJ60" i="1"/>
  <c r="AJ35" i="1"/>
  <c r="AJ22" i="1"/>
  <c r="AJ53" i="1"/>
  <c r="AJ42" i="1"/>
  <c r="AJ23" i="1"/>
  <c r="AJ27" i="1"/>
  <c r="AJ25" i="1"/>
  <c r="G67" i="1"/>
  <c r="AA67" i="1" s="1"/>
  <c r="M23" i="1"/>
  <c r="G28" i="1"/>
  <c r="AA28" i="1" s="1"/>
  <c r="G23" i="1"/>
  <c r="AA23" i="1" s="1"/>
  <c r="M22" i="1"/>
  <c r="X57" i="1"/>
  <c r="X64" i="1"/>
  <c r="X44" i="1"/>
  <c r="X31" i="1"/>
  <c r="X25" i="1"/>
  <c r="X23" i="1"/>
  <c r="X29" i="1"/>
  <c r="X27" i="1"/>
  <c r="X26" i="1"/>
  <c r="G18" i="1"/>
  <c r="AA18" i="1" s="1"/>
  <c r="G20" i="1"/>
  <c r="AA20" i="1" s="1"/>
  <c r="G22" i="1"/>
  <c r="AA22" i="1" s="1"/>
  <c r="AJ54" i="1"/>
  <c r="X88" i="1"/>
  <c r="X98" i="1"/>
  <c r="G161" i="1"/>
  <c r="AA161" i="1" s="1"/>
  <c r="AI196" i="1"/>
  <c r="X230" i="1"/>
  <c r="X231" i="1"/>
  <c r="X233" i="1"/>
  <c r="X86" i="1"/>
  <c r="AK86" i="1"/>
  <c r="X89" i="1"/>
  <c r="X96" i="1"/>
  <c r="X114" i="1"/>
  <c r="X135" i="1"/>
  <c r="AJ155" i="1"/>
  <c r="X160" i="1"/>
  <c r="AJ160" i="1"/>
  <c r="AJ166" i="1"/>
  <c r="AI187" i="1"/>
  <c r="AK222" i="1"/>
  <c r="X235" i="1"/>
  <c r="AK245" i="1"/>
  <c r="H67" i="1"/>
  <c r="AB67" i="1" s="1"/>
  <c r="AK89" i="1"/>
  <c r="AK91" i="1"/>
  <c r="X92" i="1"/>
  <c r="AK93" i="1"/>
  <c r="AK94" i="1"/>
  <c r="AI99" i="1"/>
  <c r="AI110" i="1"/>
  <c r="AI112" i="1"/>
  <c r="X170" i="1"/>
  <c r="AI154" i="1"/>
  <c r="AJ157" i="1"/>
  <c r="X168" i="1"/>
  <c r="AK180" i="1"/>
  <c r="AJ182" i="1"/>
  <c r="AJ186" i="1"/>
  <c r="AK223" i="1"/>
  <c r="AK224" i="1"/>
  <c r="G226" i="1"/>
  <c r="AA226" i="1" s="1"/>
  <c r="I230" i="1"/>
  <c r="AC230" i="1" s="1"/>
  <c r="I231" i="1"/>
  <c r="AC231" i="1" s="1"/>
  <c r="AJ237" i="1"/>
  <c r="AK238" i="1"/>
  <c r="AJ239" i="1"/>
  <c r="X248" i="1"/>
  <c r="AJ257" i="1"/>
  <c r="AJ258" i="1"/>
  <c r="AJ262" i="1"/>
  <c r="AK263" i="1"/>
  <c r="AJ264" i="1"/>
  <c r="AK265" i="1"/>
  <c r="G225" i="1"/>
  <c r="AA225" i="1" s="1"/>
  <c r="I255" i="1"/>
  <c r="AC255" i="1" s="1"/>
  <c r="AK256" i="1"/>
  <c r="AK259" i="1"/>
  <c r="H271" i="1"/>
  <c r="AB271" i="1" s="1"/>
  <c r="I25" i="1"/>
  <c r="AC25" i="1" s="1"/>
  <c r="AI59" i="1"/>
  <c r="AK61" i="1"/>
  <c r="X130" i="1"/>
  <c r="X87" i="1"/>
  <c r="G89" i="1"/>
  <c r="AA89" i="1" s="1"/>
  <c r="X90" i="1"/>
  <c r="G97" i="1"/>
  <c r="AA97" i="1" s="1"/>
  <c r="AI97" i="1"/>
  <c r="AK99" i="1"/>
  <c r="AJ100" i="1"/>
  <c r="AI101" i="1"/>
  <c r="AK110" i="1"/>
  <c r="AJ111" i="1"/>
  <c r="AK112" i="1"/>
  <c r="AK116" i="1"/>
  <c r="AJ117" i="1"/>
  <c r="X120" i="1"/>
  <c r="AK124" i="1"/>
  <c r="AJ125" i="1"/>
  <c r="AK126" i="1"/>
  <c r="X129" i="1"/>
  <c r="AI132" i="1"/>
  <c r="AJ154" i="1"/>
  <c r="X158" i="1"/>
  <c r="AK162" i="1"/>
  <c r="X164" i="1"/>
  <c r="AI165" i="1"/>
  <c r="AK178" i="1"/>
  <c r="X179" i="1"/>
  <c r="AI189" i="1"/>
  <c r="X261" i="1"/>
  <c r="G222" i="1"/>
  <c r="AA222" i="1" s="1"/>
  <c r="AK225" i="1"/>
  <c r="I227" i="1"/>
  <c r="AC227" i="1" s="1"/>
  <c r="G232" i="1"/>
  <c r="AA232" i="1" s="1"/>
  <c r="AK232" i="1"/>
  <c r="AK251" i="1"/>
  <c r="AJ252" i="1"/>
  <c r="I257" i="1"/>
  <c r="AC257" i="1" s="1"/>
  <c r="I258" i="1"/>
  <c r="AC258" i="1" s="1"/>
  <c r="AJ260" i="1"/>
  <c r="I122" i="1"/>
  <c r="AC122" i="1" s="1"/>
  <c r="I121" i="1"/>
  <c r="AC121" i="1" s="1"/>
  <c r="I135" i="1"/>
  <c r="AC135" i="1" s="1"/>
  <c r="I114" i="1"/>
  <c r="AC114" i="1" s="1"/>
  <c r="I92" i="1"/>
  <c r="AC92" i="1" s="1"/>
  <c r="I95" i="1"/>
  <c r="AC95" i="1" s="1"/>
  <c r="I113" i="1"/>
  <c r="AC113" i="1" s="1"/>
  <c r="I89" i="1"/>
  <c r="AC89" i="1" s="1"/>
  <c r="I87" i="1"/>
  <c r="AC87" i="1" s="1"/>
  <c r="I112" i="1"/>
  <c r="AC112" i="1" s="1"/>
  <c r="I94" i="1"/>
  <c r="AC94" i="1" s="1"/>
  <c r="I91" i="1"/>
  <c r="AC91" i="1" s="1"/>
  <c r="I125" i="1"/>
  <c r="AC125" i="1" s="1"/>
  <c r="I117" i="1"/>
  <c r="AC117" i="1" s="1"/>
  <c r="I111" i="1"/>
  <c r="AC111" i="1" s="1"/>
  <c r="I116" i="1"/>
  <c r="AC116" i="1" s="1"/>
  <c r="I110" i="1"/>
  <c r="AC110" i="1" s="1"/>
  <c r="I93" i="1"/>
  <c r="AC93" i="1" s="1"/>
  <c r="AI60" i="1"/>
  <c r="AI54" i="1"/>
  <c r="AI53" i="1"/>
  <c r="AI35" i="1"/>
  <c r="AI22" i="1"/>
  <c r="AI24" i="1"/>
  <c r="AI18" i="1"/>
  <c r="AI61" i="1"/>
  <c r="AI52" i="1"/>
  <c r="AI46" i="1"/>
  <c r="AI20" i="1"/>
  <c r="AI67" i="1"/>
  <c r="AI62" i="1"/>
  <c r="AI51" i="1"/>
  <c r="AI27" i="1"/>
  <c r="AI63" i="1"/>
  <c r="AI50" i="1"/>
  <c r="AI45" i="1"/>
  <c r="AI30" i="1"/>
  <c r="AI64" i="1"/>
  <c r="AI44" i="1"/>
  <c r="AI31" i="1"/>
  <c r="AI29" i="1"/>
  <c r="AI26" i="1"/>
  <c r="AI23" i="1"/>
  <c r="AI57" i="1"/>
  <c r="AI49" i="1"/>
  <c r="AI43" i="1"/>
  <c r="AI32" i="1"/>
  <c r="AI21" i="1"/>
  <c r="AI19" i="1"/>
  <c r="AI58" i="1"/>
  <c r="AI56" i="1"/>
  <c r="AI48" i="1"/>
  <c r="AI42" i="1"/>
  <c r="AI33" i="1"/>
  <c r="AI25" i="1"/>
  <c r="AI55" i="1"/>
  <c r="I88" i="1"/>
  <c r="AC88" i="1" s="1"/>
  <c r="AL45" i="1"/>
  <c r="AL49" i="1"/>
  <c r="AL21" i="1"/>
  <c r="AL19" i="1"/>
  <c r="AL46" i="1"/>
  <c r="AL20" i="1"/>
  <c r="AL18" i="1"/>
  <c r="AL182" i="1"/>
  <c r="AL155" i="1"/>
  <c r="AL181" i="1"/>
  <c r="AL185" i="1"/>
  <c r="AL156" i="1"/>
  <c r="AL157" i="1"/>
  <c r="AI41" i="1"/>
  <c r="AL114" i="1"/>
  <c r="AL113" i="1"/>
  <c r="AL89" i="1"/>
  <c r="AL87" i="1"/>
  <c r="AL117" i="1"/>
  <c r="AI34" i="1"/>
  <c r="AL88" i="1"/>
  <c r="I115" i="1"/>
  <c r="AC115" i="1" s="1"/>
  <c r="I18" i="1"/>
  <c r="AC18" i="1" s="1"/>
  <c r="I20" i="1"/>
  <c r="AC20" i="1" s="1"/>
  <c r="I22" i="1"/>
  <c r="AK22" i="1"/>
  <c r="I24" i="1"/>
  <c r="AC24" i="1" s="1"/>
  <c r="AJ28" i="1"/>
  <c r="X30" i="1"/>
  <c r="AJ34" i="1"/>
  <c r="AK35" i="1"/>
  <c r="AJ41" i="1"/>
  <c r="X45" i="1"/>
  <c r="I46" i="1"/>
  <c r="AC46" i="1" s="1"/>
  <c r="AJ47" i="1"/>
  <c r="X50" i="1"/>
  <c r="I52" i="1"/>
  <c r="AC52" i="1" s="1"/>
  <c r="AK53" i="1"/>
  <c r="AK54" i="1"/>
  <c r="AJ55" i="1"/>
  <c r="AJ59" i="1"/>
  <c r="AK60" i="1"/>
  <c r="X63" i="1"/>
  <c r="I67" i="1"/>
  <c r="AC67" i="1" s="1"/>
  <c r="AI87" i="1"/>
  <c r="AI89" i="1"/>
  <c r="AJ91" i="1"/>
  <c r="AJ94" i="1"/>
  <c r="AJ97" i="1"/>
  <c r="AI98" i="1"/>
  <c r="AJ99" i="1"/>
  <c r="AK100" i="1"/>
  <c r="X103" i="1"/>
  <c r="AK111" i="1"/>
  <c r="AJ112" i="1"/>
  <c r="AI113" i="1"/>
  <c r="AK117" i="1"/>
  <c r="AI118" i="1"/>
  <c r="X121" i="1"/>
  <c r="X122" i="1"/>
  <c r="AK125" i="1"/>
  <c r="X128" i="1"/>
  <c r="AI131" i="1"/>
  <c r="AJ132" i="1"/>
  <c r="AI199" i="1"/>
  <c r="AI186" i="1"/>
  <c r="AI181" i="1"/>
  <c r="AI166" i="1"/>
  <c r="AI157" i="1"/>
  <c r="AI155" i="1"/>
  <c r="AI200" i="1"/>
  <c r="AI193" i="1"/>
  <c r="AI185" i="1"/>
  <c r="AI179" i="1"/>
  <c r="AI168" i="1"/>
  <c r="AI194" i="1"/>
  <c r="AI192" i="1"/>
  <c r="AI184" i="1"/>
  <c r="AI178" i="1"/>
  <c r="AI169" i="1"/>
  <c r="AI161" i="1"/>
  <c r="AI195" i="1"/>
  <c r="AI191" i="1"/>
  <c r="AI183" i="1"/>
  <c r="AI177" i="1"/>
  <c r="AI170" i="1"/>
  <c r="AI164" i="1"/>
  <c r="AI158" i="1"/>
  <c r="AI156" i="1"/>
  <c r="AI197" i="1"/>
  <c r="AI188" i="1"/>
  <c r="AI182" i="1"/>
  <c r="AI160" i="1"/>
  <c r="AK165" i="1"/>
  <c r="AJ168" i="1"/>
  <c r="X177" i="1"/>
  <c r="AI190" i="1"/>
  <c r="AK198" i="1"/>
  <c r="AK28" i="1"/>
  <c r="AK34" i="1"/>
  <c r="AK41" i="1"/>
  <c r="AK47" i="1"/>
  <c r="AJ48" i="1"/>
  <c r="X51" i="1"/>
  <c r="I53" i="1"/>
  <c r="AC53" i="1" s="1"/>
  <c r="I54" i="1"/>
  <c r="AC54" i="1" s="1"/>
  <c r="AK55" i="1"/>
  <c r="AJ56" i="1"/>
  <c r="AJ58" i="1"/>
  <c r="AK59" i="1"/>
  <c r="X62" i="1"/>
  <c r="AJ87" i="1"/>
  <c r="AJ89" i="1"/>
  <c r="G91" i="1"/>
  <c r="AA91" i="1" s="1"/>
  <c r="G94" i="1"/>
  <c r="AA94" i="1" s="1"/>
  <c r="AJ98" i="1"/>
  <c r="AJ113" i="1"/>
  <c r="X115" i="1"/>
  <c r="AJ118" i="1"/>
  <c r="AI119" i="1"/>
  <c r="X123" i="1"/>
  <c r="X127" i="1"/>
  <c r="AI130" i="1"/>
  <c r="AJ131" i="1"/>
  <c r="AK132" i="1"/>
  <c r="AI135" i="1"/>
  <c r="G162" i="1"/>
  <c r="AA162" i="1" s="1"/>
  <c r="X195" i="1"/>
  <c r="G203" i="1"/>
  <c r="AA203" i="1" s="1"/>
  <c r="AI264" i="1"/>
  <c r="AI258" i="1"/>
  <c r="AI257" i="1"/>
  <c r="AI239" i="1"/>
  <c r="AI265" i="1"/>
  <c r="AI256" i="1"/>
  <c r="AI250" i="1"/>
  <c r="AI228" i="1"/>
  <c r="AI271" i="1"/>
  <c r="AI266" i="1"/>
  <c r="AI255" i="1"/>
  <c r="AI231" i="1"/>
  <c r="AI267" i="1"/>
  <c r="AI254" i="1"/>
  <c r="AI249" i="1"/>
  <c r="AI234" i="1"/>
  <c r="AI225" i="1"/>
  <c r="AI223" i="1"/>
  <c r="AI268" i="1"/>
  <c r="AI248" i="1"/>
  <c r="AI235" i="1"/>
  <c r="AI233" i="1"/>
  <c r="AI230" i="1"/>
  <c r="AI227" i="1"/>
  <c r="AI261" i="1"/>
  <c r="AI253" i="1"/>
  <c r="AI247" i="1"/>
  <c r="AI236" i="1"/>
  <c r="AI262" i="1"/>
  <c r="AI260" i="1"/>
  <c r="AI252" i="1"/>
  <c r="AI246" i="1"/>
  <c r="AI237" i="1"/>
  <c r="AI229" i="1"/>
  <c r="X18" i="1"/>
  <c r="AJ19" i="1"/>
  <c r="X20" i="1"/>
  <c r="AJ21" i="1"/>
  <c r="X24" i="1"/>
  <c r="G25" i="1"/>
  <c r="AA25" i="1" s="1"/>
  <c r="AK25" i="1"/>
  <c r="AJ32" i="1"/>
  <c r="AK33" i="1"/>
  <c r="I41" i="1"/>
  <c r="AC41" i="1" s="1"/>
  <c r="AK42" i="1"/>
  <c r="AJ43" i="1"/>
  <c r="X46" i="1"/>
  <c r="I47" i="1"/>
  <c r="AC47" i="1" s="1"/>
  <c r="AK48" i="1"/>
  <c r="AJ49" i="1"/>
  <c r="X52" i="1"/>
  <c r="AK56" i="1"/>
  <c r="AJ57" i="1"/>
  <c r="AK58" i="1"/>
  <c r="X61" i="1"/>
  <c r="X67" i="1"/>
  <c r="AI92" i="1"/>
  <c r="X93" i="1"/>
  <c r="AJ95" i="1"/>
  <c r="AK98" i="1"/>
  <c r="X101" i="1"/>
  <c r="X110" i="1"/>
  <c r="AK113" i="1"/>
  <c r="AI114" i="1"/>
  <c r="X116" i="1"/>
  <c r="AK118" i="1"/>
  <c r="AJ119" i="1"/>
  <c r="AI120" i="1"/>
  <c r="X124" i="1"/>
  <c r="X126" i="1"/>
  <c r="AI129" i="1"/>
  <c r="AJ130" i="1"/>
  <c r="AK131" i="1"/>
  <c r="AJ135" i="1"/>
  <c r="I184" i="1"/>
  <c r="AC184" i="1" s="1"/>
  <c r="I178" i="1"/>
  <c r="AC178" i="1" s="1"/>
  <c r="I161" i="1"/>
  <c r="AC161" i="1" s="1"/>
  <c r="I183" i="1"/>
  <c r="AC183" i="1" s="1"/>
  <c r="I190" i="1"/>
  <c r="AC190" i="1" s="1"/>
  <c r="I189" i="1"/>
  <c r="AC189" i="1" s="1"/>
  <c r="I203" i="1"/>
  <c r="AC203" i="1" s="1"/>
  <c r="I182" i="1"/>
  <c r="AC182" i="1" s="1"/>
  <c r="I160" i="1"/>
  <c r="AC160" i="1" s="1"/>
  <c r="I163" i="1"/>
  <c r="AC163" i="1" s="1"/>
  <c r="I180" i="1"/>
  <c r="AC180" i="1" s="1"/>
  <c r="I162" i="1"/>
  <c r="AC162" i="1" s="1"/>
  <c r="I159" i="1"/>
  <c r="AC159" i="1" s="1"/>
  <c r="I155" i="1"/>
  <c r="AC155" i="1" s="1"/>
  <c r="AI167" i="1"/>
  <c r="AJ179" i="1"/>
  <c r="AJ188" i="1"/>
  <c r="I193" i="1"/>
  <c r="AC193" i="1" s="1"/>
  <c r="AI203" i="1"/>
  <c r="AI224" i="1"/>
  <c r="AI232" i="1"/>
  <c r="AI238" i="1"/>
  <c r="AI245" i="1"/>
  <c r="AI259" i="1"/>
  <c r="G19" i="1"/>
  <c r="AA19" i="1" s="1"/>
  <c r="AK19" i="1"/>
  <c r="G21" i="1"/>
  <c r="AA21" i="1" s="1"/>
  <c r="AK21" i="1"/>
  <c r="X22" i="1"/>
  <c r="AJ26" i="1"/>
  <c r="AJ29" i="1"/>
  <c r="AJ31" i="1"/>
  <c r="AK32" i="1"/>
  <c r="X35" i="1"/>
  <c r="I42" i="1"/>
  <c r="AC42" i="1" s="1"/>
  <c r="AK43" i="1"/>
  <c r="AJ44" i="1"/>
  <c r="I48" i="1"/>
  <c r="AC48" i="1" s="1"/>
  <c r="AK49" i="1"/>
  <c r="X53" i="1"/>
  <c r="X54" i="1"/>
  <c r="AK57" i="1"/>
  <c r="X60" i="1"/>
  <c r="AJ64" i="1"/>
  <c r="AJ92" i="1"/>
  <c r="G95" i="1"/>
  <c r="AA95" i="1" s="1"/>
  <c r="AK95" i="1"/>
  <c r="X100" i="1"/>
  <c r="AI103" i="1"/>
  <c r="X111" i="1"/>
  <c r="AJ114" i="1"/>
  <c r="X117" i="1"/>
  <c r="I118" i="1"/>
  <c r="AC118" i="1" s="1"/>
  <c r="AK119" i="1"/>
  <c r="AJ120" i="1"/>
  <c r="AI121" i="1"/>
  <c r="AI122" i="1"/>
  <c r="X125" i="1"/>
  <c r="AI128" i="1"/>
  <c r="AJ129" i="1"/>
  <c r="AK130" i="1"/>
  <c r="G135" i="1"/>
  <c r="AA135" i="1" s="1"/>
  <c r="AK193" i="1"/>
  <c r="AK185" i="1"/>
  <c r="AK179" i="1"/>
  <c r="AK168" i="1"/>
  <c r="AK194" i="1"/>
  <c r="AK192" i="1"/>
  <c r="AK184" i="1"/>
  <c r="AK195" i="1"/>
  <c r="AK191" i="1"/>
  <c r="AK183" i="1"/>
  <c r="AK177" i="1"/>
  <c r="AK170" i="1"/>
  <c r="AK164" i="1"/>
  <c r="AK158" i="1"/>
  <c r="AK156" i="1"/>
  <c r="AK154" i="1"/>
  <c r="AK196" i="1"/>
  <c r="AK190" i="1"/>
  <c r="AK189" i="1"/>
  <c r="AK171" i="1"/>
  <c r="AK197" i="1"/>
  <c r="AK188" i="1"/>
  <c r="AK182" i="1"/>
  <c r="AK160" i="1"/>
  <c r="AK199" i="1"/>
  <c r="AK186" i="1"/>
  <c r="AK181" i="1"/>
  <c r="AK166" i="1"/>
  <c r="AK157" i="1"/>
  <c r="AK155" i="1"/>
  <c r="X154" i="1"/>
  <c r="X156" i="1"/>
  <c r="AI163" i="1"/>
  <c r="AK167" i="1"/>
  <c r="X185" i="1"/>
  <c r="X191" i="1"/>
  <c r="AK203" i="1"/>
  <c r="AL249" i="1"/>
  <c r="AL225" i="1"/>
  <c r="AL223" i="1"/>
  <c r="AL253" i="1"/>
  <c r="AL224" i="1"/>
  <c r="AL222" i="1"/>
  <c r="AL250" i="1"/>
  <c r="I19" i="1"/>
  <c r="AC19" i="1" s="1"/>
  <c r="I21" i="1"/>
  <c r="AC21" i="1" s="1"/>
  <c r="I23" i="1"/>
  <c r="AC23" i="1" s="1"/>
  <c r="AK23" i="1"/>
  <c r="G26" i="1"/>
  <c r="AA26" i="1" s="1"/>
  <c r="AK26" i="1"/>
  <c r="X28" i="1"/>
  <c r="G29" i="1"/>
  <c r="AA29" i="1" s="1"/>
  <c r="AK29" i="1"/>
  <c r="AJ30" i="1"/>
  <c r="AK31" i="1"/>
  <c r="X34" i="1"/>
  <c r="X41" i="1"/>
  <c r="I43" i="1"/>
  <c r="AC43" i="1" s="1"/>
  <c r="AK44" i="1"/>
  <c r="AJ45" i="1"/>
  <c r="X47" i="1"/>
  <c r="I49" i="1"/>
  <c r="AC49" i="1" s="1"/>
  <c r="AJ50" i="1"/>
  <c r="X55" i="1"/>
  <c r="I57" i="1"/>
  <c r="AC57" i="1" s="1"/>
  <c r="X59" i="1"/>
  <c r="AJ63" i="1"/>
  <c r="AK64" i="1"/>
  <c r="AI86" i="1"/>
  <c r="AI88" i="1"/>
  <c r="AI90" i="1"/>
  <c r="X91" i="1"/>
  <c r="G92" i="1"/>
  <c r="AA92" i="1" s="1"/>
  <c r="AK92" i="1"/>
  <c r="X94" i="1"/>
  <c r="AI96" i="1"/>
  <c r="X97" i="1"/>
  <c r="X99" i="1"/>
  <c r="AI102" i="1"/>
  <c r="AJ103" i="1"/>
  <c r="AI109" i="1"/>
  <c r="X112" i="1"/>
  <c r="AK114" i="1"/>
  <c r="AI115" i="1"/>
  <c r="I119" i="1"/>
  <c r="AC119" i="1" s="1"/>
  <c r="AK120" i="1"/>
  <c r="AJ121" i="1"/>
  <c r="AJ122" i="1"/>
  <c r="AI123" i="1"/>
  <c r="AI127" i="1"/>
  <c r="AJ128" i="1"/>
  <c r="AK129" i="1"/>
  <c r="X132" i="1"/>
  <c r="H203" i="1"/>
  <c r="AB203" i="1" s="1"/>
  <c r="G160" i="1"/>
  <c r="AA160" i="1" s="1"/>
  <c r="G157" i="1"/>
  <c r="AA157" i="1" s="1"/>
  <c r="G155" i="1"/>
  <c r="AA155" i="1" s="1"/>
  <c r="AJ200" i="1"/>
  <c r="AJ180" i="1"/>
  <c r="AJ167" i="1"/>
  <c r="AJ165" i="1"/>
  <c r="AJ162" i="1"/>
  <c r="AJ159" i="1"/>
  <c r="AJ193" i="1"/>
  <c r="AJ185" i="1"/>
  <c r="AJ194" i="1"/>
  <c r="AJ192" i="1"/>
  <c r="AJ184" i="1"/>
  <c r="AJ178" i="1"/>
  <c r="AJ169" i="1"/>
  <c r="AJ161" i="1"/>
  <c r="AJ195" i="1"/>
  <c r="AJ191" i="1"/>
  <c r="AJ183" i="1"/>
  <c r="AJ177" i="1"/>
  <c r="AJ170" i="1"/>
  <c r="AJ164" i="1"/>
  <c r="AJ158" i="1"/>
  <c r="AJ156" i="1"/>
  <c r="AJ196" i="1"/>
  <c r="AJ190" i="1"/>
  <c r="AJ189" i="1"/>
  <c r="AJ171" i="1"/>
  <c r="AJ203" i="1"/>
  <c r="AJ198" i="1"/>
  <c r="AJ187" i="1"/>
  <c r="AJ163" i="1"/>
  <c r="X155" i="1"/>
  <c r="AI159" i="1"/>
  <c r="AI162" i="1"/>
  <c r="AK163" i="1"/>
  <c r="G165" i="1"/>
  <c r="AA165" i="1" s="1"/>
  <c r="AK169" i="1"/>
  <c r="AI171" i="1"/>
  <c r="AJ181" i="1"/>
  <c r="X183" i="1"/>
  <c r="X193" i="1"/>
  <c r="AJ199" i="1"/>
  <c r="AI263" i="1"/>
  <c r="AK30" i="1"/>
  <c r="X33" i="1"/>
  <c r="X42" i="1"/>
  <c r="AK45" i="1"/>
  <c r="X48" i="1"/>
  <c r="AK50" i="1"/>
  <c r="AJ51" i="1"/>
  <c r="X56" i="1"/>
  <c r="X58" i="1"/>
  <c r="AJ62" i="1"/>
  <c r="AK63" i="1"/>
  <c r="AJ67" i="1"/>
  <c r="AJ86" i="1"/>
  <c r="AJ88" i="1"/>
  <c r="AJ90" i="1"/>
  <c r="AJ96" i="1"/>
  <c r="AJ102" i="1"/>
  <c r="AJ109" i="1"/>
  <c r="X113" i="1"/>
  <c r="AJ115" i="1"/>
  <c r="AI116" i="1"/>
  <c r="X118" i="1"/>
  <c r="I120" i="1"/>
  <c r="AC120" i="1" s="1"/>
  <c r="AK121" i="1"/>
  <c r="AK122" i="1"/>
  <c r="AJ123" i="1"/>
  <c r="AI124" i="1"/>
  <c r="AI126" i="1"/>
  <c r="AJ127" i="1"/>
  <c r="AK128" i="1"/>
  <c r="X131" i="1"/>
  <c r="G164" i="1"/>
  <c r="AA164" i="1" s="1"/>
  <c r="G158" i="1"/>
  <c r="AA158" i="1" s="1"/>
  <c r="G156" i="1"/>
  <c r="AA156" i="1" s="1"/>
  <c r="G154" i="1"/>
  <c r="AA154" i="1" s="1"/>
  <c r="I188" i="1"/>
  <c r="AC188" i="1" s="1"/>
  <c r="I187" i="1"/>
  <c r="AC187" i="1" s="1"/>
  <c r="AC158" i="1"/>
  <c r="AI226" i="1"/>
  <c r="AJ18" i="1"/>
  <c r="X19" i="1"/>
  <c r="AJ20" i="1"/>
  <c r="X21" i="1"/>
  <c r="AJ24" i="1"/>
  <c r="AK27" i="1"/>
  <c r="X32" i="1"/>
  <c r="X43" i="1"/>
  <c r="AJ46" i="1"/>
  <c r="X49" i="1"/>
  <c r="I50" i="1"/>
  <c r="AC50" i="1" s="1"/>
  <c r="AK51" i="1"/>
  <c r="AJ52" i="1"/>
  <c r="AK62" i="1"/>
  <c r="G86" i="1"/>
  <c r="AA86" i="1" s="1"/>
  <c r="G88" i="1"/>
  <c r="AA88" i="1" s="1"/>
  <c r="G90" i="1"/>
  <c r="AA90" i="1" s="1"/>
  <c r="AK90" i="1"/>
  <c r="AJ93" i="1"/>
  <c r="X95" i="1"/>
  <c r="AK96" i="1"/>
  <c r="AI100" i="1"/>
  <c r="AJ101" i="1"/>
  <c r="AK102" i="1"/>
  <c r="AK109" i="1"/>
  <c r="AJ110" i="1"/>
  <c r="AI111" i="1"/>
  <c r="AK115" i="1"/>
  <c r="AJ116" i="1"/>
  <c r="AI117" i="1"/>
  <c r="X119" i="1"/>
  <c r="AK123" i="1"/>
  <c r="AJ124" i="1"/>
  <c r="AK127" i="1"/>
  <c r="I177" i="1"/>
  <c r="AC177" i="1" s="1"/>
  <c r="AI180" i="1"/>
  <c r="I186" i="1"/>
  <c r="AC186" i="1" s="1"/>
  <c r="AK187" i="1"/>
  <c r="AI222" i="1"/>
  <c r="AI251" i="1"/>
  <c r="X161" i="1"/>
  <c r="X169" i="1"/>
  <c r="X178" i="1"/>
  <c r="X184" i="1"/>
  <c r="X192" i="1"/>
  <c r="X194" i="1"/>
  <c r="AJ222" i="1"/>
  <c r="X223" i="1"/>
  <c r="AJ224" i="1"/>
  <c r="X225" i="1"/>
  <c r="AJ226" i="1"/>
  <c r="I228" i="1"/>
  <c r="AC228" i="1" s="1"/>
  <c r="AJ232" i="1"/>
  <c r="X234" i="1"/>
  <c r="AJ238" i="1"/>
  <c r="AK239" i="1"/>
  <c r="AJ245" i="1"/>
  <c r="X249" i="1"/>
  <c r="I250" i="1"/>
  <c r="AC250" i="1" s="1"/>
  <c r="AJ251" i="1"/>
  <c r="X254" i="1"/>
  <c r="I256" i="1"/>
  <c r="AC256" i="1" s="1"/>
  <c r="AK257" i="1"/>
  <c r="AK258" i="1"/>
  <c r="AJ259" i="1"/>
  <c r="AJ263" i="1"/>
  <c r="AK264" i="1"/>
  <c r="X267" i="1"/>
  <c r="I271" i="1"/>
  <c r="AC271" i="1" s="1"/>
  <c r="X255" i="1"/>
  <c r="X266" i="1"/>
  <c r="X159" i="1"/>
  <c r="X162" i="1"/>
  <c r="X165" i="1"/>
  <c r="X167" i="1"/>
  <c r="X180" i="1"/>
  <c r="X200" i="1"/>
  <c r="I222" i="1"/>
  <c r="AC222" i="1" s="1"/>
  <c r="I224" i="1"/>
  <c r="AC224" i="1" s="1"/>
  <c r="I226" i="1"/>
  <c r="X228" i="1"/>
  <c r="G229" i="1"/>
  <c r="AA229" i="1" s="1"/>
  <c r="AK229" i="1"/>
  <c r="AJ236" i="1"/>
  <c r="AK237" i="1"/>
  <c r="I245" i="1"/>
  <c r="AC245" i="1" s="1"/>
  <c r="AK246" i="1"/>
  <c r="AJ247" i="1"/>
  <c r="X250" i="1"/>
  <c r="I251" i="1"/>
  <c r="AC251" i="1" s="1"/>
  <c r="AK252" i="1"/>
  <c r="AJ253" i="1"/>
  <c r="X256" i="1"/>
  <c r="AK260" i="1"/>
  <c r="AJ261" i="1"/>
  <c r="AK262" i="1"/>
  <c r="X265" i="1"/>
  <c r="X271" i="1"/>
  <c r="X157" i="1"/>
  <c r="X166" i="1"/>
  <c r="X181" i="1"/>
  <c r="X186" i="1"/>
  <c r="X199" i="1"/>
  <c r="AJ227" i="1"/>
  <c r="I229" i="1"/>
  <c r="AC229" i="1" s="1"/>
  <c r="AJ230" i="1"/>
  <c r="AJ233" i="1"/>
  <c r="AJ235" i="1"/>
  <c r="AK236" i="1"/>
  <c r="X239" i="1"/>
  <c r="I246" i="1"/>
  <c r="AC246" i="1" s="1"/>
  <c r="AK247" i="1"/>
  <c r="AJ248" i="1"/>
  <c r="I252" i="1"/>
  <c r="AC252" i="1" s="1"/>
  <c r="AK253" i="1"/>
  <c r="X257" i="1"/>
  <c r="X258" i="1"/>
  <c r="AK261" i="1"/>
  <c r="X264" i="1"/>
  <c r="AJ268" i="1"/>
  <c r="X163" i="1"/>
  <c r="X187" i="1"/>
  <c r="X198" i="1"/>
  <c r="X222" i="1"/>
  <c r="AJ223" i="1"/>
  <c r="X224" i="1"/>
  <c r="AJ225" i="1"/>
  <c r="X226" i="1"/>
  <c r="G227" i="1"/>
  <c r="AA227" i="1" s="1"/>
  <c r="AK227" i="1"/>
  <c r="G230" i="1"/>
  <c r="AA230" i="1" s="1"/>
  <c r="AK230" i="1"/>
  <c r="X232" i="1"/>
  <c r="G233" i="1"/>
  <c r="AA233" i="1" s="1"/>
  <c r="AK233" i="1"/>
  <c r="AJ234" i="1"/>
  <c r="AK235" i="1"/>
  <c r="X238" i="1"/>
  <c r="X245" i="1"/>
  <c r="I247" i="1"/>
  <c r="AC247" i="1" s="1"/>
  <c r="AK248" i="1"/>
  <c r="AJ249" i="1"/>
  <c r="X251" i="1"/>
  <c r="I253" i="1"/>
  <c r="AC253" i="1" s="1"/>
  <c r="AJ254" i="1"/>
  <c r="X259" i="1"/>
  <c r="I261" i="1"/>
  <c r="AC261" i="1" s="1"/>
  <c r="X263" i="1"/>
  <c r="AJ267" i="1"/>
  <c r="AK268" i="1"/>
  <c r="X182" i="1"/>
  <c r="X188" i="1"/>
  <c r="X197" i="1"/>
  <c r="X203" i="1"/>
  <c r="X229" i="1"/>
  <c r="AK234" i="1"/>
  <c r="X237" i="1"/>
  <c r="X246" i="1"/>
  <c r="I248" i="1"/>
  <c r="AC248" i="1" s="1"/>
  <c r="AK249" i="1"/>
  <c r="X252" i="1"/>
  <c r="AK254" i="1"/>
  <c r="AJ255" i="1"/>
  <c r="X260" i="1"/>
  <c r="X262" i="1"/>
  <c r="AJ266" i="1"/>
  <c r="AK267" i="1"/>
  <c r="AJ271" i="1"/>
  <c r="X171" i="1"/>
  <c r="X189" i="1"/>
  <c r="X190" i="1"/>
  <c r="I223" i="1"/>
  <c r="AC223" i="1" s="1"/>
  <c r="I225" i="1"/>
  <c r="AC225" i="1" s="1"/>
  <c r="AJ228" i="1"/>
  <c r="AK231" i="1"/>
  <c r="X236" i="1"/>
  <c r="X247" i="1"/>
  <c r="AJ250" i="1"/>
  <c r="X253" i="1"/>
  <c r="I254" i="1"/>
  <c r="AC254" i="1" s="1"/>
  <c r="AK255" i="1"/>
  <c r="AJ256" i="1"/>
  <c r="AK266" i="1"/>
  <c r="I123" i="1" l="1"/>
  <c r="AC123" i="1" s="1"/>
  <c r="I259" i="1"/>
  <c r="AC259" i="1" s="1"/>
  <c r="AC226" i="1"/>
  <c r="I191" i="1"/>
  <c r="AC191" i="1" s="1"/>
  <c r="I55" i="1"/>
  <c r="AC55" i="1" s="1"/>
  <c r="AC22" i="1"/>
</calcChain>
</file>

<file path=xl/sharedStrings.xml><?xml version="1.0" encoding="utf-8"?>
<sst xmlns="http://schemas.openxmlformats.org/spreadsheetml/2006/main" count="906" uniqueCount="91">
  <si>
    <t>ALUMEC</t>
  </si>
  <si>
    <t>Project</t>
  </si>
  <si>
    <t>Marina Living Larnaca</t>
  </si>
  <si>
    <t>Block</t>
  </si>
  <si>
    <t>Floor No.</t>
  </si>
  <si>
    <t xml:space="preserve">Project </t>
  </si>
  <si>
    <t>:</t>
  </si>
  <si>
    <t>H=</t>
  </si>
  <si>
    <t>mm</t>
  </si>
  <si>
    <t>Window No.</t>
  </si>
  <si>
    <t>A1-W2</t>
  </si>
  <si>
    <t xml:space="preserve">Project no.  </t>
  </si>
  <si>
    <t>O-25035</t>
  </si>
  <si>
    <t>L=</t>
  </si>
  <si>
    <t>PM</t>
  </si>
  <si>
    <t>Jad Abi Rizk</t>
  </si>
  <si>
    <t>=H upstand</t>
  </si>
  <si>
    <t xml:space="preserve">Color  </t>
  </si>
  <si>
    <t>E5 Clair</t>
  </si>
  <si>
    <t>Glass</t>
  </si>
  <si>
    <t>32 mm</t>
  </si>
  <si>
    <t>G1</t>
  </si>
  <si>
    <t>Profile</t>
  </si>
  <si>
    <t>TECHNAL FXI</t>
  </si>
  <si>
    <t>Type</t>
  </si>
  <si>
    <t>Date</t>
  </si>
  <si>
    <t>Hupstand=</t>
  </si>
  <si>
    <t>Qty</t>
  </si>
  <si>
    <t>Hhandle=</t>
  </si>
  <si>
    <t>AJO no.</t>
  </si>
  <si>
    <t>AJO 26 - 006</t>
  </si>
  <si>
    <t>Floor</t>
  </si>
  <si>
    <t>Window no.</t>
  </si>
  <si>
    <t>no.</t>
  </si>
  <si>
    <t>Description</t>
  </si>
  <si>
    <t>Profile no.</t>
  </si>
  <si>
    <t>Color</t>
  </si>
  <si>
    <t>Length</t>
  </si>
  <si>
    <t>Height</t>
  </si>
  <si>
    <t>Unit</t>
  </si>
  <si>
    <t>Angle of cut</t>
  </si>
  <si>
    <t>Others</t>
  </si>
  <si>
    <t>AJO #</t>
  </si>
  <si>
    <t>Item #</t>
  </si>
  <si>
    <t>Profile #</t>
  </si>
  <si>
    <t>L</t>
  </si>
  <si>
    <t>H</t>
  </si>
  <si>
    <t>Cut</t>
  </si>
  <si>
    <t>Project #</t>
  </si>
  <si>
    <t>Type of Profile</t>
  </si>
  <si>
    <t>Glass Thick</t>
  </si>
  <si>
    <t>Hhandle</t>
  </si>
  <si>
    <t>HF008</t>
  </si>
  <si>
    <t>-45.0/ 45.0</t>
  </si>
  <si>
    <t>Aluminum Profile</t>
  </si>
  <si>
    <t>HF001</t>
  </si>
  <si>
    <t>to be aligned with 8400 at R</t>
  </si>
  <si>
    <t>NC</t>
  </si>
  <si>
    <t>PARCLOSE</t>
  </si>
  <si>
    <t>0.0/ 0.0</t>
  </si>
  <si>
    <t>1H+ 1L</t>
  </si>
  <si>
    <t>Accessories</t>
  </si>
  <si>
    <t>Acc. No.</t>
  </si>
  <si>
    <t>Remarks</t>
  </si>
  <si>
    <t>EE001</t>
  </si>
  <si>
    <t>pcs</t>
  </si>
  <si>
    <t>Accessories/Alum-Glass-Metal</t>
  </si>
  <si>
    <t>CF005</t>
  </si>
  <si>
    <t>CF018</t>
  </si>
  <si>
    <t>CF023</t>
  </si>
  <si>
    <t>KF012</t>
  </si>
  <si>
    <t>KF037</t>
  </si>
  <si>
    <t>CF019</t>
  </si>
  <si>
    <t>CF013</t>
  </si>
  <si>
    <t>KF030</t>
  </si>
  <si>
    <t>JF001</t>
  </si>
  <si>
    <t>JF002</t>
  </si>
  <si>
    <t>JF005</t>
  </si>
  <si>
    <t>Compas Securite</t>
  </si>
  <si>
    <t>KF045</t>
  </si>
  <si>
    <t>1 if applicable</t>
  </si>
  <si>
    <t>1 for Architrave without clip</t>
  </si>
  <si>
    <t>EE012</t>
  </si>
  <si>
    <t>Double Glazing</t>
  </si>
  <si>
    <t>A2-W3</t>
  </si>
  <si>
    <t>-45.0/ 0.0</t>
  </si>
  <si>
    <t>0.0/ 45.0</t>
  </si>
  <si>
    <t>A2-W4</t>
  </si>
  <si>
    <t>G1a</t>
  </si>
  <si>
    <t>R</t>
  </si>
  <si>
    <t>A3-W3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</si>
</sst>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2"/>
      <name val="MS Sans Serif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7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3" fillId="0" borderId="0" xfId="1" applyFont="1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5" fillId="0" borderId="0" xfId="2" applyFont="1"/>
    <xf numFmtId="0" fontId="4" fillId="0" borderId="0" xfId="2"/>
    <xf numFmtId="0" fontId="3" fillId="0" borderId="0" xfId="2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2" applyFont="1" applyAlignment="1">
      <alignment horizontal="right"/>
    </xf>
    <xf numFmtId="0" fontId="3" fillId="0" borderId="0" xfId="2" applyFont="1" applyAlignment="1">
      <alignment horizontal="left" vertical="center"/>
    </xf>
    <xf numFmtId="0" fontId="6" fillId="0" borderId="0" xfId="1" applyFont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49" fontId="3" fillId="0" borderId="0" xfId="1" applyNumberFormat="1" applyFont="1"/>
    <xf numFmtId="14" fontId="2" fillId="0" borderId="0" xfId="1" applyNumberFormat="1" applyFont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3" quotePrefix="1" applyFont="1" applyAlignment="1">
      <alignment horizontal="right"/>
    </xf>
    <xf numFmtId="0" fontId="3" fillId="0" borderId="0" xfId="3" applyFont="1" applyAlignment="1">
      <alignment horizontal="right"/>
    </xf>
    <xf numFmtId="0" fontId="2" fillId="0" borderId="0" xfId="3" applyFont="1" applyAlignment="1">
      <alignment horizontal="center" vertical="center"/>
    </xf>
    <xf numFmtId="0" fontId="7" fillId="0" borderId="0" xfId="1" applyFont="1"/>
    <xf numFmtId="0" fontId="2" fillId="0" borderId="0" xfId="2" applyFont="1"/>
    <xf numFmtId="0" fontId="8" fillId="0" borderId="0" xfId="1" applyFont="1"/>
    <xf numFmtId="0" fontId="9" fillId="0" borderId="0" xfId="1" applyFont="1"/>
    <xf numFmtId="0" fontId="8" fillId="0" borderId="0" xfId="2" applyFont="1"/>
    <xf numFmtId="0" fontId="9" fillId="0" borderId="0" xfId="2" applyFont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Continuous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Continuous" vertical="center"/>
    </xf>
    <xf numFmtId="0" fontId="2" fillId="0" borderId="1" xfId="1" applyFont="1" applyBorder="1" applyAlignment="1">
      <alignment horizontal="centerContinuous" vertical="center"/>
    </xf>
    <xf numFmtId="0" fontId="2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6" xfId="2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49" fontId="3" fillId="0" borderId="7" xfId="1" applyNumberFormat="1" applyFont="1" applyBorder="1" applyAlignment="1">
      <alignment horizontal="right" vertical="center"/>
    </xf>
    <xf numFmtId="0" fontId="4" fillId="0" borderId="0" xfId="2" applyAlignment="1">
      <alignment vertical="center"/>
    </xf>
    <xf numFmtId="0" fontId="3" fillId="0" borderId="6" xfId="2" applyFont="1" applyBorder="1" applyAlignment="1">
      <alignment horizontal="left" vertical="center"/>
    </xf>
    <xf numFmtId="0" fontId="3" fillId="0" borderId="8" xfId="2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5" xfId="1" applyFont="1" applyBorder="1" applyAlignment="1">
      <alignment horizontal="centerContinuous" vertical="center"/>
    </xf>
    <xf numFmtId="0" fontId="3" fillId="0" borderId="7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Continuous"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2" fillId="0" borderId="0" xfId="1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4" fillId="0" borderId="0" xfId="2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1" fontId="3" fillId="0" borderId="9" xfId="1" applyNumberFormat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1" fontId="3" fillId="0" borderId="7" xfId="1" applyNumberFormat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0" xfId="2" applyFont="1" applyAlignment="1">
      <alignment horizontal="centerContinuous" vertical="center"/>
    </xf>
    <xf numFmtId="0" fontId="1" fillId="0" borderId="0" xfId="1"/>
  </cellXfs>
  <cellStyles count="4">
    <cellStyle name="Normal" xfId="0" builtinId="0"/>
    <cellStyle name="Normal 2" xfId="1"/>
    <cellStyle name="Normal_EXECOB" xfId="2"/>
    <cellStyle name="Normal_HING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</xdr:row>
      <xdr:rowOff>133350</xdr:rowOff>
    </xdr:from>
    <xdr:to>
      <xdr:col>8</xdr:col>
      <xdr:colOff>533400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76BCE5-2F02-48B0-A6CB-6D54A4CAC056}"/>
            </a:ext>
          </a:extLst>
        </xdr:cNvPr>
        <xdr:cNvSpPr/>
      </xdr:nvSpPr>
      <xdr:spPr>
        <a:xfrm>
          <a:off x="5826125" y="52705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600075</xdr:colOff>
      <xdr:row>2</xdr:row>
      <xdr:rowOff>141941</xdr:rowOff>
    </xdr:from>
    <xdr:to>
      <xdr:col>8</xdr:col>
      <xdr:colOff>522941</xdr:colOff>
      <xdr:row>4</xdr:row>
      <xdr:rowOff>26708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EA1F763D-4EE6-4A38-AFE4-110B14542378}"/>
            </a:ext>
          </a:extLst>
        </xdr:cNvPr>
        <xdr:cNvCxnSpPr>
          <a:stCxn id="2" idx="1"/>
        </xdr:cNvCxnSpPr>
      </xdr:nvCxnSpPr>
      <xdr:spPr>
        <a:xfrm flipV="1">
          <a:off x="5826125" y="535641"/>
          <a:ext cx="729316" cy="27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4</xdr:row>
      <xdr:rowOff>26708</xdr:rowOff>
    </xdr:from>
    <xdr:to>
      <xdr:col>8</xdr:col>
      <xdr:colOff>545353</xdr:colOff>
      <xdr:row>5</xdr:row>
      <xdr:rowOff>112059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1A4AA073-9E37-4763-8209-516E524DCA79}"/>
            </a:ext>
          </a:extLst>
        </xdr:cNvPr>
        <xdr:cNvCxnSpPr>
          <a:stCxn id="2" idx="1"/>
        </xdr:cNvCxnSpPr>
      </xdr:nvCxnSpPr>
      <xdr:spPr>
        <a:xfrm>
          <a:off x="5826125" y="814108"/>
          <a:ext cx="751728" cy="282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28</xdr:row>
      <xdr:rowOff>84044</xdr:rowOff>
    </xdr:from>
    <xdr:ext cx="414618" cy="171450"/>
    <xdr:pic>
      <xdr:nvPicPr>
        <xdr:cNvPr id="5" name="Picture 20">
          <a:extLst>
            <a:ext uri="{FF2B5EF4-FFF2-40B4-BE49-F238E27FC236}">
              <a16:creationId xmlns:a16="http://schemas.microsoft.com/office/drawing/2014/main" xmlns="" id="{06E2C471-967C-4EEE-83DE-CB87E3A7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76595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29</xdr:row>
          <xdr:rowOff>85725</xdr:rowOff>
        </xdr:from>
        <xdr:to>
          <xdr:col>10</xdr:col>
          <xdr:colOff>638175</xdr:colOff>
          <xdr:row>29</xdr:row>
          <xdr:rowOff>276225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304573E7-333D-4029-84DB-B44FE3FB5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17</xdr:row>
      <xdr:rowOff>84044</xdr:rowOff>
    </xdr:from>
    <xdr:ext cx="414618" cy="171450"/>
    <xdr:pic>
      <xdr:nvPicPr>
        <xdr:cNvPr id="6" name="Picture 20">
          <a:extLst>
            <a:ext uri="{FF2B5EF4-FFF2-40B4-BE49-F238E27FC236}">
              <a16:creationId xmlns:a16="http://schemas.microsoft.com/office/drawing/2014/main" xmlns="" id="{EAFBCB29-96F4-452F-97E5-2079F3C0A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608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18</xdr:row>
      <xdr:rowOff>84044</xdr:rowOff>
    </xdr:from>
    <xdr:ext cx="414618" cy="171450"/>
    <xdr:pic>
      <xdr:nvPicPr>
        <xdr:cNvPr id="7" name="Picture 20">
          <a:extLst>
            <a:ext uri="{FF2B5EF4-FFF2-40B4-BE49-F238E27FC236}">
              <a16:creationId xmlns:a16="http://schemas.microsoft.com/office/drawing/2014/main" xmlns="" id="{AF3E6DD8-5DE6-43F9-99DA-A9F777EF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9765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19</xdr:row>
      <xdr:rowOff>84044</xdr:rowOff>
    </xdr:from>
    <xdr:ext cx="414618" cy="171450"/>
    <xdr:pic>
      <xdr:nvPicPr>
        <xdr:cNvPr id="8" name="Picture 20">
          <a:extLst>
            <a:ext uri="{FF2B5EF4-FFF2-40B4-BE49-F238E27FC236}">
              <a16:creationId xmlns:a16="http://schemas.microsoft.com/office/drawing/2014/main" xmlns="" id="{DFD79E94-F208-4216-A2D3-97C2D0A0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3448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20</xdr:row>
      <xdr:rowOff>84044</xdr:rowOff>
    </xdr:from>
    <xdr:ext cx="414618" cy="171450"/>
    <xdr:pic>
      <xdr:nvPicPr>
        <xdr:cNvPr id="9" name="Picture 20">
          <a:extLst>
            <a:ext uri="{FF2B5EF4-FFF2-40B4-BE49-F238E27FC236}">
              <a16:creationId xmlns:a16="http://schemas.microsoft.com/office/drawing/2014/main" xmlns="" id="{34552D17-8607-4FD2-BDC1-83A472913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7131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21</xdr:row>
      <xdr:rowOff>84044</xdr:rowOff>
    </xdr:from>
    <xdr:ext cx="414618" cy="171450"/>
    <xdr:pic>
      <xdr:nvPicPr>
        <xdr:cNvPr id="10" name="Picture 20">
          <a:extLst>
            <a:ext uri="{FF2B5EF4-FFF2-40B4-BE49-F238E27FC236}">
              <a16:creationId xmlns:a16="http://schemas.microsoft.com/office/drawing/2014/main" xmlns="" id="{6CA4DDE3-3A91-4F43-B3D4-720D9B10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50814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</xdr:row>
      <xdr:rowOff>84044</xdr:rowOff>
    </xdr:from>
    <xdr:ext cx="414618" cy="171450"/>
    <xdr:pic>
      <xdr:nvPicPr>
        <xdr:cNvPr id="11" name="Picture 20">
          <a:extLst>
            <a:ext uri="{FF2B5EF4-FFF2-40B4-BE49-F238E27FC236}">
              <a16:creationId xmlns:a16="http://schemas.microsoft.com/office/drawing/2014/main" xmlns="" id="{B65DF84C-AEF5-4E8D-AED9-97DC8F2AD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54497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27</xdr:row>
      <xdr:rowOff>84044</xdr:rowOff>
    </xdr:from>
    <xdr:ext cx="414618" cy="171450"/>
    <xdr:pic>
      <xdr:nvPicPr>
        <xdr:cNvPr id="12" name="Picture 20">
          <a:extLst>
            <a:ext uri="{FF2B5EF4-FFF2-40B4-BE49-F238E27FC236}">
              <a16:creationId xmlns:a16="http://schemas.microsoft.com/office/drawing/2014/main" xmlns="" id="{F609C720-3415-49AB-8B69-115BED20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7291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23</xdr:row>
      <xdr:rowOff>84044</xdr:rowOff>
    </xdr:from>
    <xdr:ext cx="414618" cy="171450"/>
    <xdr:pic>
      <xdr:nvPicPr>
        <xdr:cNvPr id="13" name="Picture 20">
          <a:extLst>
            <a:ext uri="{FF2B5EF4-FFF2-40B4-BE49-F238E27FC236}">
              <a16:creationId xmlns:a16="http://schemas.microsoft.com/office/drawing/2014/main" xmlns="" id="{E6D5273B-1878-4F1B-BCB7-077752B6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58180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24</xdr:row>
      <xdr:rowOff>84044</xdr:rowOff>
    </xdr:from>
    <xdr:ext cx="414618" cy="171450"/>
    <xdr:pic>
      <xdr:nvPicPr>
        <xdr:cNvPr id="14" name="Picture 20">
          <a:extLst>
            <a:ext uri="{FF2B5EF4-FFF2-40B4-BE49-F238E27FC236}">
              <a16:creationId xmlns:a16="http://schemas.microsoft.com/office/drawing/2014/main" xmlns="" id="{01B2CE24-DD2E-456C-ABB8-8198011E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61863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25</xdr:row>
          <xdr:rowOff>85725</xdr:rowOff>
        </xdr:from>
        <xdr:to>
          <xdr:col>10</xdr:col>
          <xdr:colOff>638175</xdr:colOff>
          <xdr:row>25</xdr:row>
          <xdr:rowOff>276225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17ACAAD5-4279-4AB8-8068-9C37183C0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26</xdr:row>
          <xdr:rowOff>85725</xdr:rowOff>
        </xdr:from>
        <xdr:to>
          <xdr:col>10</xdr:col>
          <xdr:colOff>638175</xdr:colOff>
          <xdr:row>26</xdr:row>
          <xdr:rowOff>276225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4DC62CEE-F558-4B93-85FF-EB678BD0F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600075</xdr:colOff>
      <xdr:row>70</xdr:row>
      <xdr:rowOff>133350</xdr:rowOff>
    </xdr:from>
    <xdr:to>
      <xdr:col>8</xdr:col>
      <xdr:colOff>533400</xdr:colOff>
      <xdr:row>73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xmlns="" id="{3540D93B-CD37-4BE2-8428-A5FF94F57157}"/>
            </a:ext>
          </a:extLst>
        </xdr:cNvPr>
        <xdr:cNvSpPr/>
      </xdr:nvSpPr>
      <xdr:spPr>
        <a:xfrm>
          <a:off x="5826125" y="1348740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600075</xdr:colOff>
      <xdr:row>70</xdr:row>
      <xdr:rowOff>141941</xdr:rowOff>
    </xdr:from>
    <xdr:to>
      <xdr:col>8</xdr:col>
      <xdr:colOff>522941</xdr:colOff>
      <xdr:row>72</xdr:row>
      <xdr:rowOff>26708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63D2F311-4C19-44E0-882C-43AF39899CBE}"/>
            </a:ext>
          </a:extLst>
        </xdr:cNvPr>
        <xdr:cNvCxnSpPr>
          <a:stCxn id="15" idx="1"/>
        </xdr:cNvCxnSpPr>
      </xdr:nvCxnSpPr>
      <xdr:spPr>
        <a:xfrm flipV="1">
          <a:off x="5826125" y="13495991"/>
          <a:ext cx="729316" cy="27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72</xdr:row>
      <xdr:rowOff>26708</xdr:rowOff>
    </xdr:from>
    <xdr:to>
      <xdr:col>8</xdr:col>
      <xdr:colOff>545353</xdr:colOff>
      <xdr:row>73</xdr:row>
      <xdr:rowOff>112059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xmlns="" id="{9EABD69D-3BA6-47B4-B269-428F441D582A}"/>
            </a:ext>
          </a:extLst>
        </xdr:cNvPr>
        <xdr:cNvCxnSpPr>
          <a:stCxn id="15" idx="1"/>
        </xdr:cNvCxnSpPr>
      </xdr:nvCxnSpPr>
      <xdr:spPr>
        <a:xfrm>
          <a:off x="5826125" y="13774458"/>
          <a:ext cx="751728" cy="282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96</xdr:row>
      <xdr:rowOff>84044</xdr:rowOff>
    </xdr:from>
    <xdr:ext cx="414618" cy="171450"/>
    <xdr:pic>
      <xdr:nvPicPr>
        <xdr:cNvPr id="18" name="Picture 20">
          <a:extLst>
            <a:ext uri="{FF2B5EF4-FFF2-40B4-BE49-F238E27FC236}">
              <a16:creationId xmlns:a16="http://schemas.microsoft.com/office/drawing/2014/main" xmlns="" id="{BEEDE03C-B590-4ECE-8632-3CB7C5FC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06199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97</xdr:row>
          <xdr:rowOff>85725</xdr:rowOff>
        </xdr:from>
        <xdr:to>
          <xdr:col>10</xdr:col>
          <xdr:colOff>638175</xdr:colOff>
          <xdr:row>97</xdr:row>
          <xdr:rowOff>276225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6A4E914B-F268-405D-8E10-818EDD129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85</xdr:row>
      <xdr:rowOff>84044</xdr:rowOff>
    </xdr:from>
    <xdr:ext cx="414618" cy="171450"/>
    <xdr:pic>
      <xdr:nvPicPr>
        <xdr:cNvPr id="19" name="Picture 20">
          <a:extLst>
            <a:ext uri="{FF2B5EF4-FFF2-40B4-BE49-F238E27FC236}">
              <a16:creationId xmlns:a16="http://schemas.microsoft.com/office/drawing/2014/main" xmlns="" id="{A997CF7A-3BCB-48A5-B937-B5FBBA3B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6568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86</xdr:row>
      <xdr:rowOff>84044</xdr:rowOff>
    </xdr:from>
    <xdr:ext cx="414618" cy="171450"/>
    <xdr:pic>
      <xdr:nvPicPr>
        <xdr:cNvPr id="20" name="Picture 20">
          <a:extLst>
            <a:ext uri="{FF2B5EF4-FFF2-40B4-BE49-F238E27FC236}">
              <a16:creationId xmlns:a16="http://schemas.microsoft.com/office/drawing/2014/main" xmlns="" id="{38893813-3C7A-4F6F-9BCF-6EB80BF3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69369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87</xdr:row>
      <xdr:rowOff>84044</xdr:rowOff>
    </xdr:from>
    <xdr:ext cx="414618" cy="171450"/>
    <xdr:pic>
      <xdr:nvPicPr>
        <xdr:cNvPr id="21" name="Picture 20">
          <a:extLst>
            <a:ext uri="{FF2B5EF4-FFF2-40B4-BE49-F238E27FC236}">
              <a16:creationId xmlns:a16="http://schemas.microsoft.com/office/drawing/2014/main" xmlns="" id="{AABC6CC3-CD86-49CE-9691-54FEFD7F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73052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88</xdr:row>
      <xdr:rowOff>84044</xdr:rowOff>
    </xdr:from>
    <xdr:ext cx="414618" cy="171450"/>
    <xdr:pic>
      <xdr:nvPicPr>
        <xdr:cNvPr id="22" name="Picture 20">
          <a:extLst>
            <a:ext uri="{FF2B5EF4-FFF2-40B4-BE49-F238E27FC236}">
              <a16:creationId xmlns:a16="http://schemas.microsoft.com/office/drawing/2014/main" xmlns="" id="{C2C230C8-BC47-44B6-B100-DDE2321D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76735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95</xdr:row>
      <xdr:rowOff>84044</xdr:rowOff>
    </xdr:from>
    <xdr:ext cx="414618" cy="171450"/>
    <xdr:pic>
      <xdr:nvPicPr>
        <xdr:cNvPr id="23" name="Picture 20">
          <a:extLst>
            <a:ext uri="{FF2B5EF4-FFF2-40B4-BE49-F238E27FC236}">
              <a16:creationId xmlns:a16="http://schemas.microsoft.com/office/drawing/2014/main" xmlns="" id="{F21DB7E7-5BD4-4DA8-9BAF-7EF8E55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0251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91</xdr:row>
      <xdr:rowOff>84044</xdr:rowOff>
    </xdr:from>
    <xdr:ext cx="414618" cy="171450"/>
    <xdr:pic>
      <xdr:nvPicPr>
        <xdr:cNvPr id="24" name="Picture 20">
          <a:extLst>
            <a:ext uri="{FF2B5EF4-FFF2-40B4-BE49-F238E27FC236}">
              <a16:creationId xmlns:a16="http://schemas.microsoft.com/office/drawing/2014/main" xmlns="" id="{C4056AB8-AA26-4468-8AE8-6682267C0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87784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93</xdr:row>
          <xdr:rowOff>85725</xdr:rowOff>
        </xdr:from>
        <xdr:to>
          <xdr:col>10</xdr:col>
          <xdr:colOff>638175</xdr:colOff>
          <xdr:row>93</xdr:row>
          <xdr:rowOff>276225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xmlns="" id="{E88EFAC0-CEC0-46D0-9FDC-2EF737F1E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94</xdr:row>
          <xdr:rowOff>85725</xdr:rowOff>
        </xdr:from>
        <xdr:to>
          <xdr:col>10</xdr:col>
          <xdr:colOff>638175</xdr:colOff>
          <xdr:row>94</xdr:row>
          <xdr:rowOff>276225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C40D0DCD-47C4-4D36-BB81-79DCEBE24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178735</xdr:colOff>
      <xdr:row>89</xdr:row>
      <xdr:rowOff>67568</xdr:rowOff>
    </xdr:from>
    <xdr:ext cx="419099" cy="232432"/>
    <xdr:pic>
      <xdr:nvPicPr>
        <xdr:cNvPr id="25" name="Picture 24" descr="JPEG 1.jpg">
          <a:extLst>
            <a:ext uri="{FF2B5EF4-FFF2-40B4-BE49-F238E27FC236}">
              <a16:creationId xmlns:a16="http://schemas.microsoft.com/office/drawing/2014/main" xmlns="" id="{F63FD9B4-CF04-4EA7-B3C4-6AAC142C7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44735" y="18025368"/>
          <a:ext cx="419099" cy="232432"/>
        </a:xfrm>
        <a:prstGeom prst="rect">
          <a:avLst/>
        </a:prstGeom>
      </xdr:spPr>
    </xdr:pic>
    <xdr:clientData/>
  </xdr:oneCellAnchor>
  <xdr:oneCellAnchor>
    <xdr:from>
      <xdr:col>10</xdr:col>
      <xdr:colOff>156323</xdr:colOff>
      <xdr:row>90</xdr:row>
      <xdr:rowOff>67568</xdr:rowOff>
    </xdr:from>
    <xdr:ext cx="419099" cy="232432"/>
    <xdr:pic>
      <xdr:nvPicPr>
        <xdr:cNvPr id="26" name="Picture 25" descr="JPEG 1.jpg">
          <a:extLst>
            <a:ext uri="{FF2B5EF4-FFF2-40B4-BE49-F238E27FC236}">
              <a16:creationId xmlns:a16="http://schemas.microsoft.com/office/drawing/2014/main" xmlns="" id="{63A7E243-366D-4744-8113-5656EB40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22323" y="18393668"/>
          <a:ext cx="419099" cy="232432"/>
        </a:xfrm>
        <a:prstGeom prst="rect">
          <a:avLst/>
        </a:prstGeom>
      </xdr:spPr>
    </xdr:pic>
    <xdr:clientData/>
  </xdr:oneCellAnchor>
  <xdr:twoCellAnchor>
    <xdr:from>
      <xdr:col>7</xdr:col>
      <xdr:colOff>600075</xdr:colOff>
      <xdr:row>138</xdr:row>
      <xdr:rowOff>133350</xdr:rowOff>
    </xdr:from>
    <xdr:to>
      <xdr:col>8</xdr:col>
      <xdr:colOff>533400</xdr:colOff>
      <xdr:row>141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xmlns="" id="{C2328E3E-AC00-470A-A255-B65AFF026AC4}"/>
            </a:ext>
          </a:extLst>
        </xdr:cNvPr>
        <xdr:cNvSpPr/>
      </xdr:nvSpPr>
      <xdr:spPr>
        <a:xfrm>
          <a:off x="5826125" y="2644775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605117</xdr:colOff>
      <xdr:row>138</xdr:row>
      <xdr:rowOff>119529</xdr:rowOff>
    </xdr:from>
    <xdr:to>
      <xdr:col>8</xdr:col>
      <xdr:colOff>533400</xdr:colOff>
      <xdr:row>140</xdr:row>
      <xdr:rowOff>26708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xmlns="" id="{6F4978A9-5409-4378-B917-21B386A9B18C}"/>
            </a:ext>
          </a:extLst>
        </xdr:cNvPr>
        <xdr:cNvCxnSpPr>
          <a:endCxn id="27" idx="3"/>
        </xdr:cNvCxnSpPr>
      </xdr:nvCxnSpPr>
      <xdr:spPr>
        <a:xfrm>
          <a:off x="5831167" y="26433929"/>
          <a:ext cx="734733" cy="3008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605117</xdr:colOff>
      <xdr:row>140</xdr:row>
      <xdr:rowOff>26708</xdr:rowOff>
    </xdr:from>
    <xdr:to>
      <xdr:col>8</xdr:col>
      <xdr:colOff>533400</xdr:colOff>
      <xdr:row>141</xdr:row>
      <xdr:rowOff>97117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F16F9E74-0E02-4445-A301-9A7DABB3AC50}"/>
            </a:ext>
          </a:extLst>
        </xdr:cNvPr>
        <xdr:cNvCxnSpPr>
          <a:endCxn id="27" idx="3"/>
        </xdr:cNvCxnSpPr>
      </xdr:nvCxnSpPr>
      <xdr:spPr>
        <a:xfrm flipV="1">
          <a:off x="5831167" y="26734808"/>
          <a:ext cx="734733" cy="2672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164</xdr:row>
      <xdr:rowOff>84044</xdr:rowOff>
    </xdr:from>
    <xdr:ext cx="414618" cy="171450"/>
    <xdr:pic>
      <xdr:nvPicPr>
        <xdr:cNvPr id="30" name="Picture 20">
          <a:extLst>
            <a:ext uri="{FF2B5EF4-FFF2-40B4-BE49-F238E27FC236}">
              <a16:creationId xmlns:a16="http://schemas.microsoft.com/office/drawing/2014/main" xmlns="" id="{E7C5725D-70D5-4DC6-A939-9430B4B2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3580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165</xdr:row>
          <xdr:rowOff>85725</xdr:rowOff>
        </xdr:from>
        <xdr:to>
          <xdr:col>10</xdr:col>
          <xdr:colOff>638175</xdr:colOff>
          <xdr:row>165</xdr:row>
          <xdr:rowOff>276225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xmlns="" id="{0EB0F029-E1E1-4372-919F-EF56C2E2B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153</xdr:row>
      <xdr:rowOff>84044</xdr:rowOff>
    </xdr:from>
    <xdr:ext cx="414618" cy="171450"/>
    <xdr:pic>
      <xdr:nvPicPr>
        <xdr:cNvPr id="31" name="Picture 20">
          <a:extLst>
            <a:ext uri="{FF2B5EF4-FFF2-40B4-BE49-F238E27FC236}">
              <a16:creationId xmlns:a16="http://schemas.microsoft.com/office/drawing/2014/main" xmlns="" id="{D710BBA6-6E46-43E0-B3F2-DCA86C83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95289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154</xdr:row>
      <xdr:rowOff>84044</xdr:rowOff>
    </xdr:from>
    <xdr:ext cx="414618" cy="171450"/>
    <xdr:pic>
      <xdr:nvPicPr>
        <xdr:cNvPr id="32" name="Picture 20">
          <a:extLst>
            <a:ext uri="{FF2B5EF4-FFF2-40B4-BE49-F238E27FC236}">
              <a16:creationId xmlns:a16="http://schemas.microsoft.com/office/drawing/2014/main" xmlns="" id="{A2F013A8-C6B3-47C9-9794-BEADB267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9897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155</xdr:row>
      <xdr:rowOff>84044</xdr:rowOff>
    </xdr:from>
    <xdr:ext cx="414618" cy="171450"/>
    <xdr:pic>
      <xdr:nvPicPr>
        <xdr:cNvPr id="33" name="Picture 32">
          <a:extLst>
            <a:ext uri="{FF2B5EF4-FFF2-40B4-BE49-F238E27FC236}">
              <a16:creationId xmlns:a16="http://schemas.microsoft.com/office/drawing/2014/main" xmlns="" id="{B9504FAD-4F3D-414D-A9F9-0646A58D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02655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156</xdr:row>
      <xdr:rowOff>84044</xdr:rowOff>
    </xdr:from>
    <xdr:ext cx="414618" cy="171450"/>
    <xdr:pic>
      <xdr:nvPicPr>
        <xdr:cNvPr id="34" name="Picture 20">
          <a:extLst>
            <a:ext uri="{FF2B5EF4-FFF2-40B4-BE49-F238E27FC236}">
              <a16:creationId xmlns:a16="http://schemas.microsoft.com/office/drawing/2014/main" xmlns="" id="{27D0E6B5-4ED6-4AB0-9E24-D8DB6D78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06338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163</xdr:row>
      <xdr:rowOff>84044</xdr:rowOff>
    </xdr:from>
    <xdr:ext cx="414618" cy="171450"/>
    <xdr:pic>
      <xdr:nvPicPr>
        <xdr:cNvPr id="35" name="Picture 20">
          <a:extLst>
            <a:ext uri="{FF2B5EF4-FFF2-40B4-BE49-F238E27FC236}">
              <a16:creationId xmlns:a16="http://schemas.microsoft.com/office/drawing/2014/main" xmlns="" id="{0D092F05-7DF0-48C9-9EA3-3ABF58DE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32119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159</xdr:row>
      <xdr:rowOff>84044</xdr:rowOff>
    </xdr:from>
    <xdr:ext cx="414618" cy="171450"/>
    <xdr:pic>
      <xdr:nvPicPr>
        <xdr:cNvPr id="36" name="Picture 20">
          <a:extLst>
            <a:ext uri="{FF2B5EF4-FFF2-40B4-BE49-F238E27FC236}">
              <a16:creationId xmlns:a16="http://schemas.microsoft.com/office/drawing/2014/main" xmlns="" id="{AA0807F1-D09A-4D9C-85DF-A4CD38EFB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17387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161</xdr:row>
          <xdr:rowOff>85725</xdr:rowOff>
        </xdr:from>
        <xdr:to>
          <xdr:col>10</xdr:col>
          <xdr:colOff>638175</xdr:colOff>
          <xdr:row>161</xdr:row>
          <xdr:rowOff>276225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D7DEA048-9E28-4EB9-A48D-A40E6DCAD4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162</xdr:row>
          <xdr:rowOff>85725</xdr:rowOff>
        </xdr:from>
        <xdr:to>
          <xdr:col>10</xdr:col>
          <xdr:colOff>638175</xdr:colOff>
          <xdr:row>162</xdr:row>
          <xdr:rowOff>276225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CCEDD11F-B8A8-4446-A992-7F5904AFC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178735</xdr:colOff>
      <xdr:row>157</xdr:row>
      <xdr:rowOff>67568</xdr:rowOff>
    </xdr:from>
    <xdr:ext cx="419099" cy="232432"/>
    <xdr:pic>
      <xdr:nvPicPr>
        <xdr:cNvPr id="37" name="Picture 36" descr="JPEG 1.jpg">
          <a:extLst>
            <a:ext uri="{FF2B5EF4-FFF2-40B4-BE49-F238E27FC236}">
              <a16:creationId xmlns:a16="http://schemas.microsoft.com/office/drawing/2014/main" xmlns="" id="{ED10BE3B-717C-449E-94AD-EC0543DD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44735" y="30985718"/>
          <a:ext cx="419099" cy="232432"/>
        </a:xfrm>
        <a:prstGeom prst="rect">
          <a:avLst/>
        </a:prstGeom>
      </xdr:spPr>
    </xdr:pic>
    <xdr:clientData/>
  </xdr:oneCellAnchor>
  <xdr:oneCellAnchor>
    <xdr:from>
      <xdr:col>10</xdr:col>
      <xdr:colOff>156323</xdr:colOff>
      <xdr:row>158</xdr:row>
      <xdr:rowOff>67568</xdr:rowOff>
    </xdr:from>
    <xdr:ext cx="419099" cy="232432"/>
    <xdr:pic>
      <xdr:nvPicPr>
        <xdr:cNvPr id="38" name="Picture 37" descr="JPEG 1.jpg">
          <a:extLst>
            <a:ext uri="{FF2B5EF4-FFF2-40B4-BE49-F238E27FC236}">
              <a16:creationId xmlns:a16="http://schemas.microsoft.com/office/drawing/2014/main" xmlns="" id="{B3907659-D7C4-40EF-90F7-C2F40CBFB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22323" y="31354018"/>
          <a:ext cx="419099" cy="232432"/>
        </a:xfrm>
        <a:prstGeom prst="rect">
          <a:avLst/>
        </a:prstGeom>
      </xdr:spPr>
    </xdr:pic>
    <xdr:clientData/>
  </xdr:oneCellAnchor>
  <xdr:twoCellAnchor>
    <xdr:from>
      <xdr:col>7</xdr:col>
      <xdr:colOff>600075</xdr:colOff>
      <xdr:row>206</xdr:row>
      <xdr:rowOff>133350</xdr:rowOff>
    </xdr:from>
    <xdr:to>
      <xdr:col>8</xdr:col>
      <xdr:colOff>533400</xdr:colOff>
      <xdr:row>209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xmlns="" id="{992469A7-6C3B-4AA7-830A-F6BC2498BC24}"/>
            </a:ext>
          </a:extLst>
        </xdr:cNvPr>
        <xdr:cNvSpPr/>
      </xdr:nvSpPr>
      <xdr:spPr>
        <a:xfrm>
          <a:off x="5826125" y="3940810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600075</xdr:colOff>
      <xdr:row>206</xdr:row>
      <xdr:rowOff>141941</xdr:rowOff>
    </xdr:from>
    <xdr:to>
      <xdr:col>8</xdr:col>
      <xdr:colOff>522941</xdr:colOff>
      <xdr:row>208</xdr:row>
      <xdr:rowOff>26708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xmlns="" id="{CE2CCEF4-6EB5-4C39-B003-40F15B99210D}"/>
            </a:ext>
          </a:extLst>
        </xdr:cNvPr>
        <xdr:cNvCxnSpPr>
          <a:stCxn id="39" idx="1"/>
        </xdr:cNvCxnSpPr>
      </xdr:nvCxnSpPr>
      <xdr:spPr>
        <a:xfrm flipV="1">
          <a:off x="5826125" y="39416691"/>
          <a:ext cx="729316" cy="27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208</xdr:row>
      <xdr:rowOff>26708</xdr:rowOff>
    </xdr:from>
    <xdr:to>
      <xdr:col>8</xdr:col>
      <xdr:colOff>545353</xdr:colOff>
      <xdr:row>209</xdr:row>
      <xdr:rowOff>112059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xmlns="" id="{19476287-F4D0-444E-BC2C-E56727DD7B32}"/>
            </a:ext>
          </a:extLst>
        </xdr:cNvPr>
        <xdr:cNvCxnSpPr>
          <a:stCxn id="39" idx="1"/>
        </xdr:cNvCxnSpPr>
      </xdr:nvCxnSpPr>
      <xdr:spPr>
        <a:xfrm>
          <a:off x="5826125" y="39695158"/>
          <a:ext cx="751728" cy="282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232</xdr:row>
      <xdr:rowOff>84044</xdr:rowOff>
    </xdr:from>
    <xdr:ext cx="414618" cy="171450"/>
    <xdr:pic>
      <xdr:nvPicPr>
        <xdr:cNvPr id="42" name="Picture 20">
          <a:extLst>
            <a:ext uri="{FF2B5EF4-FFF2-40B4-BE49-F238E27FC236}">
              <a16:creationId xmlns:a16="http://schemas.microsoft.com/office/drawing/2014/main" xmlns="" id="{5E734FED-F5C3-4A7F-A9CA-E818ECEA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6540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233</xdr:row>
          <xdr:rowOff>85725</xdr:rowOff>
        </xdr:from>
        <xdr:to>
          <xdr:col>10</xdr:col>
          <xdr:colOff>638175</xdr:colOff>
          <xdr:row>233</xdr:row>
          <xdr:rowOff>276225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xmlns="" id="{E0467C4D-3CC2-469D-AA11-5D556E423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221</xdr:row>
      <xdr:rowOff>84044</xdr:rowOff>
    </xdr:from>
    <xdr:ext cx="414618" cy="171450"/>
    <xdr:pic>
      <xdr:nvPicPr>
        <xdr:cNvPr id="43" name="Picture 20">
          <a:extLst>
            <a:ext uri="{FF2B5EF4-FFF2-40B4-BE49-F238E27FC236}">
              <a16:creationId xmlns:a16="http://schemas.microsoft.com/office/drawing/2014/main" xmlns="" id="{5CD125E8-92CC-4C0C-A00A-23B828F75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24893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222</xdr:row>
      <xdr:rowOff>84044</xdr:rowOff>
    </xdr:from>
    <xdr:ext cx="414618" cy="171450"/>
    <xdr:pic>
      <xdr:nvPicPr>
        <xdr:cNvPr id="44" name="Picture 20">
          <a:extLst>
            <a:ext uri="{FF2B5EF4-FFF2-40B4-BE49-F238E27FC236}">
              <a16:creationId xmlns:a16="http://schemas.microsoft.com/office/drawing/2014/main" xmlns="" id="{A688B85D-EBD1-4AB9-BE47-75BA664E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2857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223</xdr:row>
      <xdr:rowOff>84044</xdr:rowOff>
    </xdr:from>
    <xdr:ext cx="414618" cy="171450"/>
    <xdr:pic>
      <xdr:nvPicPr>
        <xdr:cNvPr id="45" name="Picture 44">
          <a:extLst>
            <a:ext uri="{FF2B5EF4-FFF2-40B4-BE49-F238E27FC236}">
              <a16:creationId xmlns:a16="http://schemas.microsoft.com/office/drawing/2014/main" xmlns="" id="{5C7481F9-C003-420B-8960-49DC1771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32259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224</xdr:row>
      <xdr:rowOff>84044</xdr:rowOff>
    </xdr:from>
    <xdr:ext cx="414618" cy="171450"/>
    <xdr:pic>
      <xdr:nvPicPr>
        <xdr:cNvPr id="46" name="Picture 20">
          <a:extLst>
            <a:ext uri="{FF2B5EF4-FFF2-40B4-BE49-F238E27FC236}">
              <a16:creationId xmlns:a16="http://schemas.microsoft.com/office/drawing/2014/main" xmlns="" id="{22CDC030-6C56-4175-88FC-31FC6A69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35942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231</xdr:row>
      <xdr:rowOff>84044</xdr:rowOff>
    </xdr:from>
    <xdr:ext cx="414618" cy="171450"/>
    <xdr:pic>
      <xdr:nvPicPr>
        <xdr:cNvPr id="47" name="Picture 20">
          <a:extLst>
            <a:ext uri="{FF2B5EF4-FFF2-40B4-BE49-F238E27FC236}">
              <a16:creationId xmlns:a16="http://schemas.microsoft.com/office/drawing/2014/main" xmlns="" id="{252712B1-9CF9-4B83-AF99-DAAACDC82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61723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227</xdr:row>
      <xdr:rowOff>84044</xdr:rowOff>
    </xdr:from>
    <xdr:ext cx="414618" cy="171450"/>
    <xdr:pic>
      <xdr:nvPicPr>
        <xdr:cNvPr id="48" name="Picture 20">
          <a:extLst>
            <a:ext uri="{FF2B5EF4-FFF2-40B4-BE49-F238E27FC236}">
              <a16:creationId xmlns:a16="http://schemas.microsoft.com/office/drawing/2014/main" xmlns="" id="{018E218F-C654-4465-B4F4-65499A711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46991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229</xdr:row>
          <xdr:rowOff>85725</xdr:rowOff>
        </xdr:from>
        <xdr:to>
          <xdr:col>10</xdr:col>
          <xdr:colOff>638175</xdr:colOff>
          <xdr:row>229</xdr:row>
          <xdr:rowOff>276225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xmlns="" id="{A1E10ED5-2300-4C3E-8D6A-46190DCC6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230</xdr:row>
          <xdr:rowOff>85725</xdr:rowOff>
        </xdr:from>
        <xdr:to>
          <xdr:col>10</xdr:col>
          <xdr:colOff>638175</xdr:colOff>
          <xdr:row>230</xdr:row>
          <xdr:rowOff>276225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xmlns="" id="{6053305B-1E3A-4018-9062-49675FF9B2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178735</xdr:colOff>
      <xdr:row>225</xdr:row>
      <xdr:rowOff>67568</xdr:rowOff>
    </xdr:from>
    <xdr:ext cx="419099" cy="232432"/>
    <xdr:pic>
      <xdr:nvPicPr>
        <xdr:cNvPr id="49" name="Picture 48" descr="JPEG 1.jpg">
          <a:extLst>
            <a:ext uri="{FF2B5EF4-FFF2-40B4-BE49-F238E27FC236}">
              <a16:creationId xmlns:a16="http://schemas.microsoft.com/office/drawing/2014/main" xmlns="" id="{14B16C3A-5288-4836-8705-15169CF2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44735" y="43946068"/>
          <a:ext cx="419099" cy="232432"/>
        </a:xfrm>
        <a:prstGeom prst="rect">
          <a:avLst/>
        </a:prstGeom>
      </xdr:spPr>
    </xdr:pic>
    <xdr:clientData/>
  </xdr:oneCellAnchor>
  <xdr:oneCellAnchor>
    <xdr:from>
      <xdr:col>10</xdr:col>
      <xdr:colOff>156323</xdr:colOff>
      <xdr:row>226</xdr:row>
      <xdr:rowOff>67568</xdr:rowOff>
    </xdr:from>
    <xdr:ext cx="419099" cy="232432"/>
    <xdr:pic>
      <xdr:nvPicPr>
        <xdr:cNvPr id="50" name="Picture 49" descr="JPEG 1.jpg">
          <a:extLst>
            <a:ext uri="{FF2B5EF4-FFF2-40B4-BE49-F238E27FC236}">
              <a16:creationId xmlns:a16="http://schemas.microsoft.com/office/drawing/2014/main" xmlns="" id="{7AD8BB44-FAC1-48B2-B3B5-BCA1D4F4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22323" y="44314368"/>
          <a:ext cx="419099" cy="2324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2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71"/>
  <sheetViews>
    <sheetView tabSelected="1" view="pageBreakPreview" zoomScale="85" zoomScaleSheetLayoutView="85" workbookViewId="0"/>
  </sheetViews>
  <sheetFormatPr defaultColWidth="9.42578125" defaultRowHeight="15" x14ac:dyDescent="0.2"/>
  <cols>
    <col min="1" max="1" width="9.5703125" style="3" customWidth="1"/>
    <col min="2" max="2" width="8.5703125" style="3" customWidth="1"/>
    <col min="3" max="3" width="3.5703125" style="9" customWidth="1"/>
    <col min="4" max="4" width="8.5703125" style="3" customWidth="1"/>
    <col min="5" max="6" width="16.5703125" style="3" customWidth="1"/>
    <col min="7" max="8" width="11.5703125" style="3" customWidth="1"/>
    <col min="9" max="10" width="9.5703125" style="3" customWidth="1"/>
    <col min="11" max="12" width="11.5703125" style="3" customWidth="1"/>
    <col min="13" max="14" width="12.5703125" style="9" customWidth="1"/>
    <col min="15" max="16" width="9.5703125" style="9" customWidth="1"/>
    <col min="17" max="17" width="12.85546875" style="3" bestFit="1" customWidth="1"/>
    <col min="18" max="18" width="13.85546875" style="3" bestFit="1" customWidth="1"/>
    <col min="19" max="19" width="9.42578125" style="3"/>
    <col min="20" max="20" width="12.42578125" style="3" bestFit="1" customWidth="1"/>
    <col min="21" max="21" width="10.42578125" style="72" bestFit="1" customWidth="1"/>
    <col min="22" max="22" width="9.42578125" style="72"/>
    <col min="23" max="23" width="13.85546875" style="72" bestFit="1" customWidth="1"/>
    <col min="24" max="25" width="9.42578125" style="72"/>
    <col min="26" max="26" width="11.42578125" style="72" bestFit="1" customWidth="1"/>
    <col min="27" max="27" width="12.5703125" style="72" bestFit="1" customWidth="1"/>
    <col min="28" max="28" width="13.140625" style="72" bestFit="1" customWidth="1"/>
    <col min="29" max="29" width="17.85546875" style="72" bestFit="1" customWidth="1"/>
    <col min="30" max="30" width="6.140625" style="72" bestFit="1" customWidth="1"/>
    <col min="31" max="31" width="11.42578125" style="72" bestFit="1" customWidth="1"/>
    <col min="32" max="32" width="12.5703125" style="72" bestFit="1" customWidth="1"/>
    <col min="33" max="33" width="13.140625" style="72" bestFit="1" customWidth="1"/>
    <col min="34" max="34" width="17.85546875" style="72" bestFit="1" customWidth="1"/>
    <col min="35" max="16384" width="9.42578125" style="72"/>
  </cols>
  <sheetData>
    <row r="1" spans="1:33" s="7" customFormat="1" ht="15.75" x14ac:dyDescent="0.25">
      <c r="A1" s="1" t="s">
        <v>0</v>
      </c>
      <c r="B1" s="1"/>
      <c r="C1" s="2"/>
      <c r="D1" s="3"/>
      <c r="E1" s="3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3" t="s">
        <v>1</v>
      </c>
      <c r="R1" s="1" t="s">
        <v>2</v>
      </c>
      <c r="S1" s="3"/>
      <c r="T1" s="4"/>
      <c r="U1" s="4"/>
      <c r="V1" s="4"/>
      <c r="W1" s="4"/>
      <c r="X1" s="4"/>
      <c r="Y1" s="4"/>
      <c r="Z1" s="6"/>
      <c r="AA1" s="6"/>
      <c r="AB1" s="6"/>
      <c r="AC1" s="6"/>
      <c r="AD1" s="6"/>
      <c r="AE1" s="6"/>
      <c r="AF1" s="6"/>
      <c r="AG1" s="6"/>
    </row>
    <row r="2" spans="1:33" s="7" customFormat="1" ht="15.75" x14ac:dyDescent="0.25">
      <c r="A2" s="1"/>
      <c r="B2" s="1"/>
      <c r="C2" s="2"/>
      <c r="D2" s="3"/>
      <c r="E2" s="3"/>
      <c r="F2" s="3"/>
      <c r="G2" s="4"/>
      <c r="H2" s="4"/>
      <c r="I2" s="4"/>
      <c r="J2" s="4"/>
      <c r="K2" s="4"/>
      <c r="L2" s="4"/>
      <c r="M2" s="5"/>
      <c r="N2" s="5"/>
      <c r="O2" s="5"/>
      <c r="P2" s="5"/>
      <c r="Q2" s="8" t="s">
        <v>3</v>
      </c>
      <c r="R2" s="1"/>
      <c r="S2" s="3"/>
      <c r="T2" s="4"/>
      <c r="U2" s="4"/>
      <c r="V2" s="4"/>
      <c r="W2" s="4"/>
      <c r="X2" s="4"/>
      <c r="Y2" s="4"/>
      <c r="Z2" s="6"/>
      <c r="AA2" s="6"/>
      <c r="AB2" s="6"/>
      <c r="AC2" s="6"/>
      <c r="AD2" s="6"/>
      <c r="AE2" s="6"/>
      <c r="AF2" s="6"/>
      <c r="AG2" s="6"/>
    </row>
    <row r="3" spans="1:33" s="7" customFormat="1" ht="15.75" x14ac:dyDescent="0.25">
      <c r="A3" s="3"/>
      <c r="B3" s="3"/>
      <c r="C3" s="9"/>
      <c r="D3" s="3"/>
      <c r="E3" s="3"/>
      <c r="F3" s="3"/>
      <c r="G3" s="4"/>
      <c r="H3" s="4"/>
      <c r="I3" s="4"/>
      <c r="J3" s="3"/>
      <c r="K3" s="3"/>
      <c r="L3" s="8"/>
      <c r="M3" s="5"/>
      <c r="N3" s="5"/>
      <c r="O3" s="10"/>
      <c r="P3" s="10"/>
      <c r="Q3" s="3" t="s">
        <v>4</v>
      </c>
      <c r="R3" s="3">
        <v>1</v>
      </c>
      <c r="S3" s="3"/>
      <c r="T3" s="4"/>
      <c r="U3" s="4"/>
      <c r="V3" s="4"/>
      <c r="W3" s="4"/>
      <c r="X3" s="4"/>
      <c r="Y3" s="4"/>
      <c r="Z3" s="6"/>
      <c r="AA3" s="6"/>
      <c r="AB3" s="6"/>
      <c r="AC3" s="6"/>
      <c r="AD3" s="6"/>
      <c r="AE3" s="6"/>
      <c r="AF3" s="6"/>
      <c r="AG3" s="6"/>
    </row>
    <row r="4" spans="1:33" s="7" customFormat="1" ht="15.75" x14ac:dyDescent="0.25">
      <c r="A4" s="1" t="s">
        <v>5</v>
      </c>
      <c r="B4" s="3"/>
      <c r="C4" s="2" t="s">
        <v>6</v>
      </c>
      <c r="D4" s="11"/>
      <c r="E4" s="1" t="str">
        <f>R1</f>
        <v>Marina Living Larnaca</v>
      </c>
      <c r="F4" s="1"/>
      <c r="H4" s="4"/>
      <c r="I4" s="4"/>
      <c r="J4" s="4"/>
      <c r="K4" s="4"/>
      <c r="L4" s="12" t="s">
        <v>7</v>
      </c>
      <c r="M4" s="5">
        <f>R6</f>
        <v>1275</v>
      </c>
      <c r="N4" s="13" t="s">
        <v>8</v>
      </c>
      <c r="O4" s="10"/>
      <c r="P4" s="10"/>
      <c r="Q4" s="3" t="s">
        <v>9</v>
      </c>
      <c r="R4" s="14" t="s">
        <v>10</v>
      </c>
      <c r="S4" s="14"/>
      <c r="T4" s="4"/>
      <c r="U4" s="4"/>
      <c r="V4" s="4"/>
      <c r="W4" s="4"/>
      <c r="X4" s="4"/>
      <c r="Y4" s="4"/>
      <c r="Z4" s="6"/>
      <c r="AA4" s="6"/>
      <c r="AB4" s="6"/>
      <c r="AC4" s="6"/>
      <c r="AD4" s="6"/>
      <c r="AE4" s="6"/>
      <c r="AF4" s="6"/>
      <c r="AG4" s="6"/>
    </row>
    <row r="5" spans="1:33" s="7" customFormat="1" ht="15.75" x14ac:dyDescent="0.25">
      <c r="A5" s="1" t="s">
        <v>11</v>
      </c>
      <c r="B5" s="3"/>
      <c r="C5" s="2" t="s">
        <v>6</v>
      </c>
      <c r="D5" s="11"/>
      <c r="E5" s="15" t="s">
        <v>12</v>
      </c>
      <c r="F5" s="15"/>
      <c r="H5" s="4"/>
      <c r="I5" s="8"/>
      <c r="J5" s="4"/>
      <c r="K5" s="4"/>
      <c r="L5" s="4"/>
      <c r="M5" s="5"/>
      <c r="N5" s="5"/>
      <c r="O5" s="5"/>
      <c r="P5" s="5"/>
      <c r="Q5" s="3" t="s">
        <v>13</v>
      </c>
      <c r="R5" s="3">
        <v>710</v>
      </c>
      <c r="S5" s="3"/>
      <c r="T5" s="4"/>
      <c r="U5" s="4"/>
      <c r="V5" s="4"/>
      <c r="W5" s="4"/>
      <c r="X5" s="4"/>
      <c r="Y5" s="4"/>
      <c r="Z5" s="6"/>
      <c r="AA5" s="6"/>
      <c r="AB5" s="6"/>
      <c r="AC5" s="6"/>
      <c r="AD5" s="6"/>
      <c r="AE5" s="6"/>
      <c r="AF5" s="6"/>
      <c r="AG5" s="6"/>
    </row>
    <row r="6" spans="1:33" s="7" customFormat="1" ht="15.75" x14ac:dyDescent="0.25">
      <c r="A6" s="15" t="s">
        <v>14</v>
      </c>
      <c r="B6" s="11"/>
      <c r="C6" s="2" t="s">
        <v>6</v>
      </c>
      <c r="D6" s="11"/>
      <c r="E6" s="1" t="s">
        <v>15</v>
      </c>
      <c r="F6" s="1"/>
      <c r="H6" s="4"/>
      <c r="I6" s="4"/>
      <c r="J6" s="4"/>
      <c r="K6" s="4"/>
      <c r="L6" s="16"/>
      <c r="M6" s="9"/>
      <c r="N6" s="9"/>
      <c r="O6" s="9"/>
      <c r="P6" s="9"/>
      <c r="Q6" s="3" t="s">
        <v>7</v>
      </c>
      <c r="R6" s="3">
        <v>1275</v>
      </c>
      <c r="S6" s="3">
        <v>1000</v>
      </c>
      <c r="T6" s="17" t="s">
        <v>16</v>
      </c>
      <c r="U6" s="4"/>
      <c r="V6" s="4"/>
      <c r="W6" s="4"/>
      <c r="X6" s="4"/>
      <c r="Y6" s="4"/>
      <c r="Z6" s="6"/>
      <c r="AA6" s="6"/>
      <c r="AB6" s="6"/>
      <c r="AC6" s="6"/>
      <c r="AD6" s="6"/>
      <c r="AE6" s="6"/>
      <c r="AF6" s="6"/>
      <c r="AG6" s="6"/>
    </row>
    <row r="7" spans="1:33" s="7" customFormat="1" ht="15.75" x14ac:dyDescent="0.25">
      <c r="A7" s="1" t="s">
        <v>17</v>
      </c>
      <c r="B7" s="3"/>
      <c r="C7" s="2" t="s">
        <v>6</v>
      </c>
      <c r="D7" s="11"/>
      <c r="E7" s="1" t="s">
        <v>18</v>
      </c>
      <c r="F7" s="1"/>
      <c r="I7" s="4"/>
      <c r="J7" s="4"/>
      <c r="K7" s="4"/>
      <c r="L7" s="16"/>
      <c r="M7" s="9"/>
      <c r="N7" s="9"/>
      <c r="O7" s="9"/>
      <c r="P7" s="5"/>
      <c r="Q7" s="3" t="s">
        <v>19</v>
      </c>
      <c r="R7" s="3" t="s">
        <v>20</v>
      </c>
      <c r="S7" s="3" t="s">
        <v>21</v>
      </c>
      <c r="T7" s="4"/>
      <c r="U7" s="4"/>
      <c r="V7" s="4"/>
      <c r="W7" s="4"/>
      <c r="X7" s="4"/>
      <c r="Y7" s="4"/>
      <c r="Z7" s="6"/>
      <c r="AA7" s="6"/>
      <c r="AB7" s="6"/>
      <c r="AC7" s="6"/>
      <c r="AD7" s="6"/>
      <c r="AE7" s="6"/>
      <c r="AF7" s="6"/>
      <c r="AG7" s="6"/>
    </row>
    <row r="8" spans="1:33" s="7" customFormat="1" ht="15.75" x14ac:dyDescent="0.25">
      <c r="A8" s="1" t="s">
        <v>22</v>
      </c>
      <c r="B8" s="3"/>
      <c r="C8" s="2" t="s">
        <v>6</v>
      </c>
      <c r="D8" s="11"/>
      <c r="E8" s="1" t="s">
        <v>23</v>
      </c>
      <c r="F8" s="1"/>
      <c r="G8" s="4"/>
      <c r="H8" s="4" t="s">
        <v>13</v>
      </c>
      <c r="I8" s="5">
        <f>R5</f>
        <v>710</v>
      </c>
      <c r="J8" s="8" t="s">
        <v>8</v>
      </c>
      <c r="K8" s="4"/>
      <c r="L8" s="4"/>
      <c r="M8" s="5"/>
      <c r="N8" s="5"/>
      <c r="O8" s="5"/>
      <c r="P8" s="5"/>
      <c r="Q8" s="3" t="s">
        <v>24</v>
      </c>
      <c r="R8" s="3">
        <v>1</v>
      </c>
      <c r="S8" s="3"/>
      <c r="T8" s="4"/>
      <c r="U8" s="4"/>
      <c r="V8" s="4"/>
      <c r="W8" s="4"/>
      <c r="X8" s="4"/>
      <c r="Y8" s="4"/>
      <c r="Z8" s="6"/>
      <c r="AA8" s="6"/>
      <c r="AB8" s="6"/>
      <c r="AC8" s="6"/>
      <c r="AD8" s="6"/>
      <c r="AE8" s="6"/>
      <c r="AF8" s="6"/>
      <c r="AG8" s="6"/>
    </row>
    <row r="9" spans="1:33" s="7" customFormat="1" ht="15.75" x14ac:dyDescent="0.25">
      <c r="A9" s="1" t="s">
        <v>25</v>
      </c>
      <c r="B9" s="3"/>
      <c r="C9" s="2" t="s">
        <v>6</v>
      </c>
      <c r="D9" s="3"/>
      <c r="E9" s="18">
        <f ca="1">TODAY()</f>
        <v>46220</v>
      </c>
      <c r="F9" s="18"/>
      <c r="G9" s="4"/>
      <c r="H9" s="4"/>
      <c r="I9" s="3"/>
      <c r="J9" s="3"/>
      <c r="K9" s="3"/>
      <c r="L9" s="16" t="s">
        <v>26</v>
      </c>
      <c r="M9" s="9">
        <f>S6</f>
        <v>1000</v>
      </c>
      <c r="N9" s="19" t="s">
        <v>8</v>
      </c>
      <c r="O9" s="9"/>
      <c r="P9" s="5"/>
      <c r="Q9" s="3" t="s">
        <v>27</v>
      </c>
      <c r="R9" s="3">
        <v>1</v>
      </c>
      <c r="S9" s="3"/>
      <c r="T9" s="4"/>
      <c r="U9" s="4"/>
      <c r="V9" s="4"/>
      <c r="W9" s="4"/>
      <c r="X9" s="4"/>
      <c r="Y9" s="6"/>
      <c r="Z9" s="6"/>
      <c r="AA9" s="6"/>
      <c r="AB9" s="6"/>
      <c r="AC9" s="6"/>
      <c r="AD9" s="6"/>
      <c r="AE9" s="6"/>
      <c r="AF9" s="6"/>
      <c r="AG9" s="6"/>
    </row>
    <row r="10" spans="1:33" s="7" customFormat="1" ht="15.75" x14ac:dyDescent="0.25">
      <c r="A10" s="1" t="s">
        <v>19</v>
      </c>
      <c r="B10" s="3"/>
      <c r="C10" s="2" t="s">
        <v>6</v>
      </c>
      <c r="D10" s="11"/>
      <c r="E10" s="15" t="str">
        <f>R7</f>
        <v>32 mm</v>
      </c>
      <c r="F10" s="15" t="str">
        <f>S7</f>
        <v>G1</v>
      </c>
      <c r="G10" s="4"/>
      <c r="H10" s="4"/>
      <c r="I10" s="4"/>
      <c r="J10" s="20"/>
      <c r="K10" s="21"/>
      <c r="L10" s="16" t="s">
        <v>28</v>
      </c>
      <c r="M10" s="9">
        <f>IF(1500-M9&lt;300,300,1500-M9)</f>
        <v>500</v>
      </c>
      <c r="N10" s="19" t="s">
        <v>8</v>
      </c>
      <c r="O10" s="22"/>
      <c r="P10" s="5"/>
      <c r="Q10" s="3"/>
      <c r="R10" s="3"/>
      <c r="S10" s="3"/>
      <c r="T10" s="4"/>
      <c r="U10" s="4"/>
      <c r="V10" s="4"/>
      <c r="W10" s="4"/>
      <c r="X10" s="4"/>
      <c r="Y10" s="6"/>
      <c r="Z10" s="6"/>
      <c r="AA10" s="6"/>
      <c r="AB10" s="6"/>
      <c r="AC10" s="6"/>
      <c r="AD10" s="6"/>
      <c r="AE10" s="6"/>
      <c r="AF10" s="6"/>
      <c r="AG10" s="6"/>
    </row>
    <row r="11" spans="1:33" s="7" customFormat="1" ht="15.75" x14ac:dyDescent="0.25">
      <c r="A11" s="1" t="s">
        <v>27</v>
      </c>
      <c r="B11" s="3"/>
      <c r="C11" s="2" t="s">
        <v>6</v>
      </c>
      <c r="D11" s="11"/>
      <c r="E11" s="15">
        <f>R9</f>
        <v>1</v>
      </c>
      <c r="F11" s="15"/>
      <c r="G11" s="4"/>
      <c r="H11" s="4"/>
      <c r="I11" s="3"/>
      <c r="J11" s="3"/>
      <c r="K11" s="3"/>
      <c r="L11" s="3"/>
      <c r="M11" s="5"/>
      <c r="N11" s="5"/>
      <c r="O11" s="5"/>
      <c r="P11" s="5"/>
      <c r="Q11" s="4"/>
      <c r="R11" s="4"/>
      <c r="S11" s="4"/>
      <c r="T11" s="4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s="7" customFormat="1" ht="15.75" x14ac:dyDescent="0.25">
      <c r="A12" s="1" t="s">
        <v>29</v>
      </c>
      <c r="B12" s="3"/>
      <c r="C12" s="2" t="s">
        <v>6</v>
      </c>
      <c r="D12" s="3"/>
      <c r="E12" s="1" t="s">
        <v>30</v>
      </c>
      <c r="F12" s="23"/>
      <c r="G12" s="4"/>
      <c r="H12" s="4"/>
      <c r="I12" s="3"/>
      <c r="J12" s="3"/>
      <c r="K12" s="3"/>
      <c r="L12" s="3"/>
      <c r="M12" s="5"/>
      <c r="N12" s="5"/>
      <c r="O12" s="5"/>
      <c r="P12" s="5"/>
      <c r="Q12" s="4"/>
      <c r="R12" s="4"/>
      <c r="S12" s="4"/>
      <c r="T12" s="4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s="7" customFormat="1" ht="15.75" x14ac:dyDescent="0.25">
      <c r="A13" s="1" t="s">
        <v>3</v>
      </c>
      <c r="B13" s="3"/>
      <c r="C13" s="2" t="s">
        <v>6</v>
      </c>
      <c r="D13" s="3"/>
      <c r="E13" s="1">
        <f>R2</f>
        <v>0</v>
      </c>
      <c r="F13" s="23"/>
      <c r="G13" s="24"/>
      <c r="H13" s="4"/>
      <c r="I13" s="4"/>
      <c r="J13" s="4"/>
      <c r="K13" s="4"/>
      <c r="L13" s="4"/>
      <c r="M13" s="5"/>
      <c r="N13" s="5"/>
      <c r="O13" s="5"/>
      <c r="P13" s="5"/>
      <c r="Q13" s="4"/>
      <c r="R13" s="4"/>
      <c r="S13" s="4"/>
      <c r="T13" s="4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s="7" customFormat="1" ht="15.75" x14ac:dyDescent="0.25">
      <c r="A14" s="25" t="s">
        <v>31</v>
      </c>
      <c r="B14" s="3"/>
      <c r="C14" s="2" t="s">
        <v>6</v>
      </c>
      <c r="D14" s="3"/>
      <c r="E14" s="15">
        <f>R3</f>
        <v>1</v>
      </c>
      <c r="F14" s="15"/>
      <c r="G14" s="4"/>
      <c r="H14" s="4"/>
      <c r="I14" s="4"/>
      <c r="J14" s="4"/>
      <c r="K14" s="4"/>
      <c r="L14" s="4"/>
      <c r="M14" s="5"/>
      <c r="N14" s="5"/>
      <c r="O14" s="5"/>
      <c r="P14" s="5"/>
      <c r="Q14" s="4"/>
      <c r="R14" s="4"/>
      <c r="S14" s="4"/>
      <c r="T14" s="4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s="7" customFormat="1" ht="15.75" x14ac:dyDescent="0.25">
      <c r="A15" s="25" t="s">
        <v>32</v>
      </c>
      <c r="B15" s="26"/>
      <c r="C15" s="2" t="s">
        <v>6</v>
      </c>
      <c r="D15" s="1">
        <f>R3</f>
        <v>1</v>
      </c>
      <c r="E15" s="15" t="str">
        <f>R4</f>
        <v>A1-W2</v>
      </c>
      <c r="F15" s="15"/>
      <c r="G15" s="4"/>
      <c r="H15" s="4"/>
      <c r="I15" s="4"/>
      <c r="J15" s="4"/>
      <c r="K15" s="4"/>
      <c r="L15" s="4"/>
      <c r="M15" s="5"/>
      <c r="N15" s="5"/>
      <c r="O15" s="5"/>
      <c r="P15" s="5"/>
      <c r="Q15" s="4"/>
      <c r="R15" s="4"/>
      <c r="S15" s="4"/>
      <c r="T15" s="4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s="7" customFormat="1" ht="16.5" thickBot="1" x14ac:dyDescent="0.3">
      <c r="A16" s="27"/>
      <c r="B16" s="28"/>
      <c r="C16" s="10"/>
      <c r="D16" s="4"/>
      <c r="E16" s="24"/>
      <c r="F16" s="4"/>
      <c r="G16" s="4"/>
      <c r="H16" s="4"/>
      <c r="I16" s="4"/>
      <c r="J16" s="4"/>
      <c r="K16" s="4"/>
      <c r="L16" s="4"/>
      <c r="M16" s="5"/>
      <c r="N16" s="5"/>
      <c r="O16" s="5"/>
      <c r="P16" s="5"/>
      <c r="Q16" s="4"/>
      <c r="R16" s="4"/>
      <c r="S16" s="4"/>
      <c r="T16" s="4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8" s="7" customFormat="1" ht="29.1" customHeight="1" thickBot="1" x14ac:dyDescent="0.25">
      <c r="A17" s="29" t="s">
        <v>33</v>
      </c>
      <c r="B17" s="30"/>
      <c r="C17" s="31" t="s">
        <v>34</v>
      </c>
      <c r="D17" s="32"/>
      <c r="E17" s="29" t="s">
        <v>35</v>
      </c>
      <c r="F17" s="29" t="s">
        <v>36</v>
      </c>
      <c r="G17" s="29" t="s">
        <v>37</v>
      </c>
      <c r="H17" s="29" t="s">
        <v>38</v>
      </c>
      <c r="I17" s="29" t="s">
        <v>27</v>
      </c>
      <c r="J17" s="29" t="s">
        <v>39</v>
      </c>
      <c r="K17" s="33" t="s">
        <v>40</v>
      </c>
      <c r="L17" s="33"/>
      <c r="M17" s="31" t="s">
        <v>41</v>
      </c>
      <c r="N17" s="34"/>
      <c r="O17" s="5"/>
      <c r="P17" s="5"/>
      <c r="Q17" s="5"/>
      <c r="R17" s="5"/>
      <c r="S17" s="5"/>
      <c r="T17" s="5"/>
      <c r="U17" s="5"/>
      <c r="V17" s="3" t="s">
        <v>24</v>
      </c>
      <c r="W17" s="3" t="s">
        <v>42</v>
      </c>
      <c r="X17" s="3" t="s">
        <v>43</v>
      </c>
      <c r="Y17" s="3" t="s">
        <v>44</v>
      </c>
      <c r="Z17" s="3" t="s">
        <v>36</v>
      </c>
      <c r="AA17" s="3" t="s">
        <v>45</v>
      </c>
      <c r="AB17" s="3" t="s">
        <v>46</v>
      </c>
      <c r="AC17" s="35" t="s">
        <v>27</v>
      </c>
      <c r="AD17" s="3" t="s">
        <v>39</v>
      </c>
      <c r="AE17" s="3" t="s">
        <v>47</v>
      </c>
      <c r="AF17" s="3" t="s">
        <v>48</v>
      </c>
      <c r="AG17" s="3" t="s">
        <v>14</v>
      </c>
      <c r="AH17" s="3" t="s">
        <v>49</v>
      </c>
      <c r="AI17" s="3" t="s">
        <v>50</v>
      </c>
      <c r="AJ17" s="3" t="s">
        <v>31</v>
      </c>
      <c r="AK17" s="3" t="s">
        <v>3</v>
      </c>
      <c r="AL17" s="3" t="s">
        <v>51</v>
      </c>
    </row>
    <row r="18" spans="1:38" s="44" customFormat="1" ht="29.25" customHeight="1" x14ac:dyDescent="0.25">
      <c r="A18" s="36">
        <v>1</v>
      </c>
      <c r="B18" s="37"/>
      <c r="C18" s="37" t="str">
        <f>E8</f>
        <v>TECHNAL FXI</v>
      </c>
      <c r="D18" s="38"/>
      <c r="E18" s="36" t="s">
        <v>52</v>
      </c>
      <c r="F18" s="39" t="str">
        <f>E7</f>
        <v>E5 Clair</v>
      </c>
      <c r="G18" s="40">
        <f>I8</f>
        <v>710</v>
      </c>
      <c r="H18" s="36"/>
      <c r="I18" s="36">
        <f>2*E11</f>
        <v>2</v>
      </c>
      <c r="J18" s="41" t="s">
        <v>8</v>
      </c>
      <c r="K18" s="42"/>
      <c r="L18" s="43" t="s">
        <v>53</v>
      </c>
      <c r="M18" s="41"/>
      <c r="N18" s="37"/>
      <c r="O18" s="5"/>
      <c r="P18" s="5"/>
      <c r="Q18" s="5"/>
      <c r="R18" s="5"/>
      <c r="S18" s="5"/>
      <c r="T18" s="5"/>
      <c r="U18" s="5"/>
      <c r="V18" s="9" t="s">
        <v>54</v>
      </c>
      <c r="W18" s="9" t="str">
        <f>E12</f>
        <v>AJO 26 - 006</v>
      </c>
      <c r="X18" s="9" t="str">
        <f>D15&amp;"-"&amp;E15</f>
        <v>1-A1-W2</v>
      </c>
      <c r="Y18" s="9" t="str">
        <f t="shared" ref="Y18:AD35" si="0">E18</f>
        <v>HF008</v>
      </c>
      <c r="Z18" s="9" t="str">
        <f t="shared" si="0"/>
        <v>E5 Clair</v>
      </c>
      <c r="AA18" s="9">
        <f t="shared" si="0"/>
        <v>710</v>
      </c>
      <c r="AB18" s="9">
        <f t="shared" si="0"/>
        <v>0</v>
      </c>
      <c r="AC18" s="9">
        <f t="shared" si="0"/>
        <v>2</v>
      </c>
      <c r="AD18" s="9" t="str">
        <f t="shared" si="0"/>
        <v>mm</v>
      </c>
      <c r="AE18" s="9" t="str">
        <f t="shared" ref="AE18:AE35" si="1">L18</f>
        <v>-45.0/ 45.0</v>
      </c>
      <c r="AF18" s="9" t="str">
        <f>E5</f>
        <v>O-25035</v>
      </c>
      <c r="AG18" s="9" t="str">
        <f>E6</f>
        <v>Jad Abi Rizk</v>
      </c>
      <c r="AH18" s="9" t="str">
        <f t="shared" ref="AH18:AH35" si="2">C18</f>
        <v>TECHNAL FXI</v>
      </c>
      <c r="AI18" s="9" t="str">
        <f>E10</f>
        <v>32 mm</v>
      </c>
      <c r="AJ18" s="9">
        <f>E14</f>
        <v>1</v>
      </c>
      <c r="AK18" s="9">
        <f>E13</f>
        <v>0</v>
      </c>
      <c r="AL18" s="9">
        <f>M10</f>
        <v>500</v>
      </c>
    </row>
    <row r="19" spans="1:38" s="44" customFormat="1" ht="29.25" customHeight="1" x14ac:dyDescent="0.25">
      <c r="A19" s="36">
        <v>2</v>
      </c>
      <c r="B19" s="37"/>
      <c r="C19" s="37" t="str">
        <f>E8</f>
        <v>TECHNAL FXI</v>
      </c>
      <c r="D19" s="38"/>
      <c r="E19" s="36" t="s">
        <v>52</v>
      </c>
      <c r="F19" s="39" t="str">
        <f>E7</f>
        <v>E5 Clair</v>
      </c>
      <c r="G19" s="40">
        <f>M4</f>
        <v>1275</v>
      </c>
      <c r="H19" s="36"/>
      <c r="I19" s="36">
        <f>2*E11</f>
        <v>2</v>
      </c>
      <c r="J19" s="41" t="s">
        <v>8</v>
      </c>
      <c r="K19" s="42"/>
      <c r="L19" s="43" t="s">
        <v>53</v>
      </c>
      <c r="M19" s="41"/>
      <c r="N19" s="37"/>
      <c r="O19" s="5"/>
      <c r="P19" s="5"/>
      <c r="Q19" s="5"/>
      <c r="R19" s="5"/>
      <c r="S19" s="5"/>
      <c r="T19" s="5"/>
      <c r="U19" s="5"/>
      <c r="V19" s="9" t="s">
        <v>54</v>
      </c>
      <c r="W19" s="9" t="str">
        <f>E12</f>
        <v>AJO 26 - 006</v>
      </c>
      <c r="X19" s="9" t="str">
        <f>D15&amp;"-"&amp;E15</f>
        <v>1-A1-W2</v>
      </c>
      <c r="Y19" s="9" t="str">
        <f t="shared" si="0"/>
        <v>HF008</v>
      </c>
      <c r="Z19" s="9" t="str">
        <f t="shared" si="0"/>
        <v>E5 Clair</v>
      </c>
      <c r="AA19" s="9">
        <f t="shared" si="0"/>
        <v>1275</v>
      </c>
      <c r="AB19" s="9">
        <f t="shared" si="0"/>
        <v>0</v>
      </c>
      <c r="AC19" s="9">
        <f t="shared" si="0"/>
        <v>2</v>
      </c>
      <c r="AD19" s="9" t="str">
        <f t="shared" si="0"/>
        <v>mm</v>
      </c>
      <c r="AE19" s="9" t="str">
        <f t="shared" si="1"/>
        <v>-45.0/ 45.0</v>
      </c>
      <c r="AF19" s="9" t="str">
        <f>E5</f>
        <v>O-25035</v>
      </c>
      <c r="AG19" s="9" t="str">
        <f>E6</f>
        <v>Jad Abi Rizk</v>
      </c>
      <c r="AH19" s="9" t="str">
        <f t="shared" si="2"/>
        <v>TECHNAL FXI</v>
      </c>
      <c r="AI19" s="9" t="str">
        <f>E10</f>
        <v>32 mm</v>
      </c>
      <c r="AJ19" s="9">
        <f>E14</f>
        <v>1</v>
      </c>
      <c r="AK19" s="9">
        <f>E13</f>
        <v>0</v>
      </c>
      <c r="AL19" s="9">
        <f>M10</f>
        <v>500</v>
      </c>
    </row>
    <row r="20" spans="1:38" s="44" customFormat="1" ht="29.25" customHeight="1" x14ac:dyDescent="0.25">
      <c r="A20" s="36">
        <v>3</v>
      </c>
      <c r="B20" s="37"/>
      <c r="C20" s="37" t="str">
        <f>E8</f>
        <v>TECHNAL FXI</v>
      </c>
      <c r="D20" s="38"/>
      <c r="E20" s="36" t="s">
        <v>55</v>
      </c>
      <c r="F20" s="39" t="str">
        <f>E7</f>
        <v>E5 Clair</v>
      </c>
      <c r="G20" s="40">
        <f>I8-54</f>
        <v>656</v>
      </c>
      <c r="H20" s="36"/>
      <c r="I20" s="36">
        <f>2*E11</f>
        <v>2</v>
      </c>
      <c r="J20" s="41" t="s">
        <v>8</v>
      </c>
      <c r="K20" s="42"/>
      <c r="L20" s="43" t="s">
        <v>53</v>
      </c>
      <c r="M20" s="41"/>
      <c r="N20" s="37"/>
      <c r="O20" s="5"/>
      <c r="P20" s="5"/>
      <c r="Q20" s="5"/>
      <c r="R20" s="5"/>
      <c r="S20" s="5"/>
      <c r="T20" s="5"/>
      <c r="U20" s="5"/>
      <c r="V20" s="9" t="s">
        <v>54</v>
      </c>
      <c r="W20" s="9" t="str">
        <f>E12</f>
        <v>AJO 26 - 006</v>
      </c>
      <c r="X20" s="9" t="str">
        <f>D15&amp;"-"&amp;E15</f>
        <v>1-A1-W2</v>
      </c>
      <c r="Y20" s="9" t="str">
        <f t="shared" si="0"/>
        <v>HF001</v>
      </c>
      <c r="Z20" s="9" t="str">
        <f t="shared" si="0"/>
        <v>E5 Clair</v>
      </c>
      <c r="AA20" s="9">
        <f t="shared" si="0"/>
        <v>656</v>
      </c>
      <c r="AB20" s="9">
        <f t="shared" si="0"/>
        <v>0</v>
      </c>
      <c r="AC20" s="9">
        <f t="shared" si="0"/>
        <v>2</v>
      </c>
      <c r="AD20" s="9" t="str">
        <f t="shared" si="0"/>
        <v>mm</v>
      </c>
      <c r="AE20" s="9" t="str">
        <f t="shared" si="1"/>
        <v>-45.0/ 45.0</v>
      </c>
      <c r="AF20" s="9" t="str">
        <f>E5</f>
        <v>O-25035</v>
      </c>
      <c r="AG20" s="9" t="str">
        <f>E6</f>
        <v>Jad Abi Rizk</v>
      </c>
      <c r="AH20" s="9" t="str">
        <f t="shared" si="2"/>
        <v>TECHNAL FXI</v>
      </c>
      <c r="AI20" s="9" t="str">
        <f>E10</f>
        <v>32 mm</v>
      </c>
      <c r="AJ20" s="9">
        <f>E14</f>
        <v>1</v>
      </c>
      <c r="AK20" s="9">
        <f>E13</f>
        <v>0</v>
      </c>
      <c r="AL20" s="9">
        <f>M10</f>
        <v>500</v>
      </c>
    </row>
    <row r="21" spans="1:38" s="44" customFormat="1" ht="29.25" customHeight="1" x14ac:dyDescent="0.25">
      <c r="A21" s="36">
        <v>4</v>
      </c>
      <c r="B21" s="37"/>
      <c r="C21" s="37" t="str">
        <f>E8</f>
        <v>TECHNAL FXI</v>
      </c>
      <c r="D21" s="38"/>
      <c r="E21" s="36" t="s">
        <v>55</v>
      </c>
      <c r="F21" s="39" t="str">
        <f>E7</f>
        <v>E5 Clair</v>
      </c>
      <c r="G21" s="40">
        <f>M4-54</f>
        <v>1221</v>
      </c>
      <c r="H21" s="36"/>
      <c r="I21" s="36">
        <f>2*E11</f>
        <v>2</v>
      </c>
      <c r="J21" s="41" t="s">
        <v>8</v>
      </c>
      <c r="K21" s="42"/>
      <c r="L21" s="43" t="s">
        <v>53</v>
      </c>
      <c r="M21" s="41"/>
      <c r="N21" s="37"/>
      <c r="O21" s="5"/>
      <c r="P21" s="5"/>
      <c r="Q21" s="5"/>
      <c r="R21" s="5"/>
      <c r="S21" s="5"/>
      <c r="T21" s="5"/>
      <c r="U21" s="5"/>
      <c r="V21" s="9" t="s">
        <v>54</v>
      </c>
      <c r="W21" s="9" t="str">
        <f>E12</f>
        <v>AJO 26 - 006</v>
      </c>
      <c r="X21" s="9" t="str">
        <f>D15&amp;"-"&amp;E15</f>
        <v>1-A1-W2</v>
      </c>
      <c r="Y21" s="9" t="str">
        <f t="shared" si="0"/>
        <v>HF001</v>
      </c>
      <c r="Z21" s="9" t="str">
        <f t="shared" si="0"/>
        <v>E5 Clair</v>
      </c>
      <c r="AA21" s="9">
        <f t="shared" si="0"/>
        <v>1221</v>
      </c>
      <c r="AB21" s="9">
        <f t="shared" si="0"/>
        <v>0</v>
      </c>
      <c r="AC21" s="9">
        <f t="shared" si="0"/>
        <v>2</v>
      </c>
      <c r="AD21" s="9" t="str">
        <f t="shared" si="0"/>
        <v>mm</v>
      </c>
      <c r="AE21" s="9" t="str">
        <f t="shared" si="1"/>
        <v>-45.0/ 45.0</v>
      </c>
      <c r="AF21" s="9" t="str">
        <f>E5</f>
        <v>O-25035</v>
      </c>
      <c r="AG21" s="9" t="str">
        <f>E6</f>
        <v>Jad Abi Rizk</v>
      </c>
      <c r="AH21" s="9" t="str">
        <f t="shared" si="2"/>
        <v>TECHNAL FXI</v>
      </c>
      <c r="AI21" s="9" t="str">
        <f>E10</f>
        <v>32 mm</v>
      </c>
      <c r="AJ21" s="9">
        <f>E14</f>
        <v>1</v>
      </c>
      <c r="AK21" s="9">
        <f>E13</f>
        <v>0</v>
      </c>
      <c r="AL21" s="9">
        <f>M10</f>
        <v>500</v>
      </c>
    </row>
    <row r="22" spans="1:38" s="44" customFormat="1" ht="29.25" customHeight="1" x14ac:dyDescent="0.25">
      <c r="A22" s="36">
        <v>5</v>
      </c>
      <c r="B22" s="37"/>
      <c r="C22" s="37" t="str">
        <f>E8</f>
        <v>TECHNAL FXI</v>
      </c>
      <c r="D22" s="38"/>
      <c r="E22" s="36">
        <v>8402</v>
      </c>
      <c r="F22" s="39" t="str">
        <f>E7</f>
        <v>E5 Clair</v>
      </c>
      <c r="G22" s="40">
        <f>I8+82</f>
        <v>792</v>
      </c>
      <c r="H22" s="36"/>
      <c r="I22" s="36">
        <f>1*E11</f>
        <v>1</v>
      </c>
      <c r="J22" s="41" t="s">
        <v>8</v>
      </c>
      <c r="K22" s="42"/>
      <c r="L22" s="43" t="s">
        <v>53</v>
      </c>
      <c r="M22" s="37">
        <f>I8+41+26</f>
        <v>777</v>
      </c>
      <c r="N22" s="45" t="s">
        <v>56</v>
      </c>
      <c r="O22" s="5"/>
      <c r="P22" s="5"/>
      <c r="Q22" s="5"/>
      <c r="R22" s="5"/>
      <c r="S22" s="5"/>
      <c r="T22" s="5"/>
      <c r="U22" s="5"/>
      <c r="V22" s="9" t="s">
        <v>54</v>
      </c>
      <c r="W22" s="9" t="str">
        <f>E12</f>
        <v>AJO 26 - 006</v>
      </c>
      <c r="X22" s="9" t="str">
        <f>D15&amp;"-"&amp;E15</f>
        <v>1-A1-W2</v>
      </c>
      <c r="Y22" s="9">
        <f t="shared" si="0"/>
        <v>8402</v>
      </c>
      <c r="Z22" s="9" t="str">
        <f t="shared" si="0"/>
        <v>E5 Clair</v>
      </c>
      <c r="AA22" s="9">
        <f t="shared" si="0"/>
        <v>792</v>
      </c>
      <c r="AB22" s="9">
        <f t="shared" si="0"/>
        <v>0</v>
      </c>
      <c r="AC22" s="9">
        <f t="shared" si="0"/>
        <v>1</v>
      </c>
      <c r="AD22" s="9" t="str">
        <f t="shared" si="0"/>
        <v>mm</v>
      </c>
      <c r="AE22" s="9" t="str">
        <f t="shared" si="1"/>
        <v>-45.0/ 45.0</v>
      </c>
      <c r="AF22" s="9" t="str">
        <f>E5</f>
        <v>O-25035</v>
      </c>
      <c r="AG22" s="9" t="str">
        <f>E6</f>
        <v>Jad Abi Rizk</v>
      </c>
      <c r="AH22" s="9" t="str">
        <f t="shared" si="2"/>
        <v>TECHNAL FXI</v>
      </c>
      <c r="AI22" s="9" t="str">
        <f>E10</f>
        <v>32 mm</v>
      </c>
      <c r="AJ22" s="9">
        <f>E14</f>
        <v>1</v>
      </c>
      <c r="AK22" s="9">
        <f>E13</f>
        <v>0</v>
      </c>
      <c r="AL22" s="9" t="s">
        <v>57</v>
      </c>
    </row>
    <row r="23" spans="1:38" s="44" customFormat="1" ht="29.25" customHeight="1" x14ac:dyDescent="0.25">
      <c r="A23" s="36">
        <v>6</v>
      </c>
      <c r="B23" s="37"/>
      <c r="C23" s="37" t="str">
        <f>E8</f>
        <v>TECHNAL FXI</v>
      </c>
      <c r="D23" s="38"/>
      <c r="E23" s="36">
        <v>8402</v>
      </c>
      <c r="F23" s="39" t="str">
        <f>E7</f>
        <v>E5 Clair</v>
      </c>
      <c r="G23" s="40">
        <f>I8+82</f>
        <v>792</v>
      </c>
      <c r="H23" s="36"/>
      <c r="I23" s="36">
        <f>1*E11</f>
        <v>1</v>
      </c>
      <c r="J23" s="41" t="s">
        <v>8</v>
      </c>
      <c r="K23" s="42"/>
      <c r="L23" s="43" t="s">
        <v>53</v>
      </c>
      <c r="M23" s="46">
        <f>I8+41+26</f>
        <v>777</v>
      </c>
      <c r="N23" s="13" t="s">
        <v>56</v>
      </c>
      <c r="O23" s="5"/>
      <c r="P23" s="5"/>
      <c r="Q23" s="5"/>
      <c r="R23" s="5"/>
      <c r="S23" s="5"/>
      <c r="T23" s="5"/>
      <c r="U23" s="5"/>
      <c r="V23" s="9" t="s">
        <v>54</v>
      </c>
      <c r="W23" s="9" t="str">
        <f>E12</f>
        <v>AJO 26 - 006</v>
      </c>
      <c r="X23" s="9" t="str">
        <f>D15&amp;"-"&amp;E15</f>
        <v>1-A1-W2</v>
      </c>
      <c r="Y23" s="9">
        <f t="shared" si="0"/>
        <v>8402</v>
      </c>
      <c r="Z23" s="9" t="str">
        <f t="shared" si="0"/>
        <v>E5 Clair</v>
      </c>
      <c r="AA23" s="9">
        <f t="shared" si="0"/>
        <v>792</v>
      </c>
      <c r="AB23" s="9">
        <f t="shared" si="0"/>
        <v>0</v>
      </c>
      <c r="AC23" s="9">
        <f t="shared" si="0"/>
        <v>1</v>
      </c>
      <c r="AD23" s="9" t="str">
        <f t="shared" si="0"/>
        <v>mm</v>
      </c>
      <c r="AE23" s="9" t="str">
        <f t="shared" si="1"/>
        <v>-45.0/ 45.0</v>
      </c>
      <c r="AF23" s="9" t="str">
        <f>E5</f>
        <v>O-25035</v>
      </c>
      <c r="AG23" s="9" t="str">
        <f>E6</f>
        <v>Jad Abi Rizk</v>
      </c>
      <c r="AH23" s="9" t="str">
        <f t="shared" si="2"/>
        <v>TECHNAL FXI</v>
      </c>
      <c r="AI23" s="9" t="str">
        <f>E10</f>
        <v>32 mm</v>
      </c>
      <c r="AJ23" s="9">
        <f>E14</f>
        <v>1</v>
      </c>
      <c r="AK23" s="9">
        <f>E13</f>
        <v>0</v>
      </c>
      <c r="AL23" s="9" t="s">
        <v>57</v>
      </c>
    </row>
    <row r="24" spans="1:38" s="44" customFormat="1" ht="29.25" customHeight="1" x14ac:dyDescent="0.25">
      <c r="A24" s="36">
        <v>7</v>
      </c>
      <c r="B24" s="37"/>
      <c r="C24" s="47" t="str">
        <f>E8</f>
        <v>TECHNAL FXI</v>
      </c>
      <c r="D24" s="48"/>
      <c r="E24" s="36">
        <v>8402</v>
      </c>
      <c r="F24" s="39" t="str">
        <f>E7</f>
        <v>E5 Clair</v>
      </c>
      <c r="G24" s="40">
        <f>M4+82</f>
        <v>1357</v>
      </c>
      <c r="H24" s="49"/>
      <c r="I24" s="36">
        <f>1*E11</f>
        <v>1</v>
      </c>
      <c r="J24" s="50" t="s">
        <v>8</v>
      </c>
      <c r="K24" s="42"/>
      <c r="L24" s="43" t="s">
        <v>53</v>
      </c>
      <c r="M24" s="41"/>
      <c r="N24" s="37"/>
      <c r="O24" s="5"/>
      <c r="P24" s="5"/>
      <c r="Q24" s="5"/>
      <c r="R24" s="5"/>
      <c r="S24" s="5"/>
      <c r="T24" s="5"/>
      <c r="U24" s="5"/>
      <c r="V24" s="9" t="s">
        <v>54</v>
      </c>
      <c r="W24" s="9" t="str">
        <f>E12</f>
        <v>AJO 26 - 006</v>
      </c>
      <c r="X24" s="9" t="str">
        <f>D15&amp;"-"&amp;E15</f>
        <v>1-A1-W2</v>
      </c>
      <c r="Y24" s="9">
        <f t="shared" si="0"/>
        <v>8402</v>
      </c>
      <c r="Z24" s="9" t="str">
        <f t="shared" si="0"/>
        <v>E5 Clair</v>
      </c>
      <c r="AA24" s="9">
        <f t="shared" si="0"/>
        <v>1357</v>
      </c>
      <c r="AB24" s="9">
        <f t="shared" si="0"/>
        <v>0</v>
      </c>
      <c r="AC24" s="9">
        <f t="shared" si="0"/>
        <v>1</v>
      </c>
      <c r="AD24" s="9" t="str">
        <f t="shared" si="0"/>
        <v>mm</v>
      </c>
      <c r="AE24" s="9" t="str">
        <f t="shared" si="1"/>
        <v>-45.0/ 45.0</v>
      </c>
      <c r="AF24" s="9" t="str">
        <f>E5</f>
        <v>O-25035</v>
      </c>
      <c r="AG24" s="9" t="str">
        <f>E6</f>
        <v>Jad Abi Rizk</v>
      </c>
      <c r="AH24" s="9" t="str">
        <f t="shared" si="2"/>
        <v>TECHNAL FXI</v>
      </c>
      <c r="AI24" s="9" t="str">
        <f>E10</f>
        <v>32 mm</v>
      </c>
      <c r="AJ24" s="9">
        <f>E14</f>
        <v>1</v>
      </c>
      <c r="AK24" s="9">
        <f>E13</f>
        <v>0</v>
      </c>
      <c r="AL24" s="9" t="s">
        <v>57</v>
      </c>
    </row>
    <row r="25" spans="1:38" s="44" customFormat="1" ht="29.25" customHeight="1" x14ac:dyDescent="0.25">
      <c r="A25" s="36">
        <v>8</v>
      </c>
      <c r="B25" s="37"/>
      <c r="C25" s="47" t="str">
        <f>E8</f>
        <v>TECHNAL FXI</v>
      </c>
      <c r="D25" s="48"/>
      <c r="E25" s="36">
        <v>8400</v>
      </c>
      <c r="F25" s="39" t="str">
        <f>E7</f>
        <v>E5 Clair</v>
      </c>
      <c r="G25" s="49">
        <f>M4+52</f>
        <v>1327</v>
      </c>
      <c r="H25" s="49"/>
      <c r="I25" s="36">
        <f>1*E11</f>
        <v>1</v>
      </c>
      <c r="J25" s="50" t="s">
        <v>8</v>
      </c>
      <c r="K25" s="42"/>
      <c r="L25" s="43" t="s">
        <v>53</v>
      </c>
      <c r="M25" s="41"/>
      <c r="N25" s="37"/>
      <c r="O25" s="5"/>
      <c r="P25" s="5"/>
      <c r="Q25" s="5"/>
      <c r="R25" s="5"/>
      <c r="S25" s="5"/>
      <c r="T25" s="5"/>
      <c r="U25" s="5"/>
      <c r="V25" s="9" t="s">
        <v>54</v>
      </c>
      <c r="W25" s="9" t="str">
        <f>E12</f>
        <v>AJO 26 - 006</v>
      </c>
      <c r="X25" s="9" t="str">
        <f>D15&amp;"-"&amp;E15</f>
        <v>1-A1-W2</v>
      </c>
      <c r="Y25" s="9">
        <f t="shared" si="0"/>
        <v>8400</v>
      </c>
      <c r="Z25" s="9" t="str">
        <f t="shared" si="0"/>
        <v>E5 Clair</v>
      </c>
      <c r="AA25" s="9">
        <f t="shared" si="0"/>
        <v>1327</v>
      </c>
      <c r="AB25" s="9">
        <f t="shared" si="0"/>
        <v>0</v>
      </c>
      <c r="AC25" s="9">
        <f t="shared" si="0"/>
        <v>1</v>
      </c>
      <c r="AD25" s="9" t="str">
        <f t="shared" si="0"/>
        <v>mm</v>
      </c>
      <c r="AE25" s="9" t="str">
        <f t="shared" si="1"/>
        <v>-45.0/ 45.0</v>
      </c>
      <c r="AF25" s="9" t="str">
        <f>E5</f>
        <v>O-25035</v>
      </c>
      <c r="AG25" s="9" t="str">
        <f>E6</f>
        <v>Jad Abi Rizk</v>
      </c>
      <c r="AH25" s="9" t="str">
        <f t="shared" si="2"/>
        <v>TECHNAL FXI</v>
      </c>
      <c r="AI25" s="9" t="str">
        <f>E10</f>
        <v>32 mm</v>
      </c>
      <c r="AJ25" s="9">
        <f>E14</f>
        <v>1</v>
      </c>
      <c r="AK25" s="9">
        <f>E13</f>
        <v>0</v>
      </c>
      <c r="AL25" s="9" t="s">
        <v>57</v>
      </c>
    </row>
    <row r="26" spans="1:38" s="44" customFormat="1" ht="29.25" customHeight="1" x14ac:dyDescent="0.25">
      <c r="A26" s="36">
        <v>9</v>
      </c>
      <c r="B26" s="37"/>
      <c r="C26" s="37" t="s">
        <v>58</v>
      </c>
      <c r="D26" s="38"/>
      <c r="E26" s="36">
        <v>2271</v>
      </c>
      <c r="F26" s="39" t="str">
        <f>E7</f>
        <v>E5 Clair</v>
      </c>
      <c r="G26" s="40">
        <f>I8-144</f>
        <v>566</v>
      </c>
      <c r="H26" s="36"/>
      <c r="I26" s="36">
        <f>2*E11</f>
        <v>2</v>
      </c>
      <c r="J26" s="41" t="s">
        <v>8</v>
      </c>
      <c r="K26" s="42"/>
      <c r="L26" s="43" t="s">
        <v>59</v>
      </c>
      <c r="M26" s="41">
        <v>1</v>
      </c>
      <c r="N26" s="37"/>
      <c r="O26" s="5"/>
      <c r="P26" s="5"/>
      <c r="Q26" s="5"/>
      <c r="R26" s="5"/>
      <c r="S26" s="5"/>
      <c r="T26" s="5"/>
      <c r="U26" s="5"/>
      <c r="V26" s="9" t="s">
        <v>54</v>
      </c>
      <c r="W26" s="9" t="str">
        <f>E12</f>
        <v>AJO 26 - 006</v>
      </c>
      <c r="X26" s="9" t="str">
        <f>D15&amp;"-"&amp;E15</f>
        <v>1-A1-W2</v>
      </c>
      <c r="Y26" s="9">
        <f t="shared" si="0"/>
        <v>2271</v>
      </c>
      <c r="Z26" s="9" t="str">
        <f t="shared" si="0"/>
        <v>E5 Clair</v>
      </c>
      <c r="AA26" s="9">
        <f t="shared" si="0"/>
        <v>566</v>
      </c>
      <c r="AB26" s="9">
        <f t="shared" si="0"/>
        <v>0</v>
      </c>
      <c r="AC26" s="9">
        <f t="shared" si="0"/>
        <v>2</v>
      </c>
      <c r="AD26" s="9" t="str">
        <f t="shared" si="0"/>
        <v>mm</v>
      </c>
      <c r="AE26" s="9" t="str">
        <f t="shared" si="1"/>
        <v>0.0/ 0.0</v>
      </c>
      <c r="AF26" s="9" t="str">
        <f>E5</f>
        <v>O-25035</v>
      </c>
      <c r="AG26" s="9" t="str">
        <f>E6</f>
        <v>Jad Abi Rizk</v>
      </c>
      <c r="AH26" s="9" t="str">
        <f t="shared" si="2"/>
        <v>PARCLOSE</v>
      </c>
      <c r="AI26" s="9" t="str">
        <f>E10</f>
        <v>32 mm</v>
      </c>
      <c r="AJ26" s="9">
        <f>E14</f>
        <v>1</v>
      </c>
      <c r="AK26" s="9">
        <f>E13</f>
        <v>0</v>
      </c>
      <c r="AL26" s="9" t="s">
        <v>57</v>
      </c>
    </row>
    <row r="27" spans="1:38" s="44" customFormat="1" ht="29.25" customHeight="1" x14ac:dyDescent="0.25">
      <c r="A27" s="36">
        <v>10</v>
      </c>
      <c r="B27" s="37"/>
      <c r="C27" s="37" t="s">
        <v>58</v>
      </c>
      <c r="D27" s="38"/>
      <c r="E27" s="36">
        <v>2271</v>
      </c>
      <c r="F27" s="39" t="str">
        <f>E7</f>
        <v>E5 Clair</v>
      </c>
      <c r="G27" s="40">
        <f>IF(M26=1,M4-190,M4-144)</f>
        <v>1085</v>
      </c>
      <c r="H27" s="36"/>
      <c r="I27" s="36">
        <f>2*E11</f>
        <v>2</v>
      </c>
      <c r="J27" s="41" t="s">
        <v>8</v>
      </c>
      <c r="K27" s="42"/>
      <c r="L27" s="43" t="s">
        <v>59</v>
      </c>
      <c r="M27" s="41"/>
      <c r="N27" s="37"/>
      <c r="O27" s="5"/>
      <c r="P27" s="5"/>
      <c r="Q27" s="5"/>
      <c r="R27" s="5"/>
      <c r="S27" s="5"/>
      <c r="T27" s="5"/>
      <c r="U27" s="5"/>
      <c r="V27" s="9" t="s">
        <v>54</v>
      </c>
      <c r="W27" s="9" t="str">
        <f>E12</f>
        <v>AJO 26 - 006</v>
      </c>
      <c r="X27" s="9" t="str">
        <f>D15&amp;"-"&amp;E15</f>
        <v>1-A1-W2</v>
      </c>
      <c r="Y27" s="9">
        <f t="shared" si="0"/>
        <v>2271</v>
      </c>
      <c r="Z27" s="9" t="str">
        <f t="shared" si="0"/>
        <v>E5 Clair</v>
      </c>
      <c r="AA27" s="9">
        <f t="shared" si="0"/>
        <v>1085</v>
      </c>
      <c r="AB27" s="9">
        <f t="shared" si="0"/>
        <v>0</v>
      </c>
      <c r="AC27" s="9">
        <f t="shared" si="0"/>
        <v>2</v>
      </c>
      <c r="AD27" s="9" t="str">
        <f t="shared" si="0"/>
        <v>mm</v>
      </c>
      <c r="AE27" s="9" t="str">
        <f t="shared" si="1"/>
        <v>0.0/ 0.0</v>
      </c>
      <c r="AF27" s="9" t="str">
        <f>E5</f>
        <v>O-25035</v>
      </c>
      <c r="AG27" s="9" t="str">
        <f>E6</f>
        <v>Jad Abi Rizk</v>
      </c>
      <c r="AH27" s="9" t="str">
        <f t="shared" si="2"/>
        <v>PARCLOSE</v>
      </c>
      <c r="AI27" s="9" t="str">
        <f>E10</f>
        <v>32 mm</v>
      </c>
      <c r="AJ27" s="9">
        <f>E14</f>
        <v>1</v>
      </c>
      <c r="AK27" s="9">
        <f>E13</f>
        <v>0</v>
      </c>
      <c r="AL27" s="9" t="s">
        <v>57</v>
      </c>
    </row>
    <row r="28" spans="1:38" s="44" customFormat="1" ht="29.25" customHeight="1" x14ac:dyDescent="0.25">
      <c r="A28" s="36">
        <v>11</v>
      </c>
      <c r="B28" s="37"/>
      <c r="C28" s="37" t="str">
        <f>E8</f>
        <v>TECHNAL FXI</v>
      </c>
      <c r="D28" s="38"/>
      <c r="E28" s="36">
        <v>2010</v>
      </c>
      <c r="F28" s="39" t="str">
        <f>E7</f>
        <v>E5 Clair</v>
      </c>
      <c r="G28" s="40">
        <f>I8-22</f>
        <v>688</v>
      </c>
      <c r="H28" s="36"/>
      <c r="I28" s="36">
        <f>IF(M28=1,2*E11,0)</f>
        <v>0</v>
      </c>
      <c r="J28" s="41" t="s">
        <v>8</v>
      </c>
      <c r="K28" s="42"/>
      <c r="L28" s="43" t="s">
        <v>53</v>
      </c>
      <c r="M28" s="41"/>
      <c r="N28" s="37"/>
      <c r="O28" s="5"/>
      <c r="P28" s="5"/>
      <c r="Q28" s="5"/>
      <c r="R28" s="5"/>
      <c r="S28" s="5"/>
      <c r="T28" s="5"/>
      <c r="U28" s="5"/>
      <c r="V28" s="9" t="s">
        <v>54</v>
      </c>
      <c r="W28" s="9" t="str">
        <f>E12</f>
        <v>AJO 26 - 006</v>
      </c>
      <c r="X28" s="9" t="str">
        <f>D15&amp;"-"&amp;E15</f>
        <v>1-A1-W2</v>
      </c>
      <c r="Y28" s="9">
        <f t="shared" si="0"/>
        <v>2010</v>
      </c>
      <c r="Z28" s="9" t="str">
        <f t="shared" si="0"/>
        <v>E5 Clair</v>
      </c>
      <c r="AA28" s="9">
        <f t="shared" si="0"/>
        <v>688</v>
      </c>
      <c r="AB28" s="9">
        <f t="shared" si="0"/>
        <v>0</v>
      </c>
      <c r="AC28" s="9">
        <f t="shared" si="0"/>
        <v>0</v>
      </c>
      <c r="AD28" s="9" t="str">
        <f t="shared" si="0"/>
        <v>mm</v>
      </c>
      <c r="AE28" s="9" t="str">
        <f t="shared" si="1"/>
        <v>-45.0/ 45.0</v>
      </c>
      <c r="AF28" s="9" t="str">
        <f>E5</f>
        <v>O-25035</v>
      </c>
      <c r="AG28" s="9" t="str">
        <f>E6</f>
        <v>Jad Abi Rizk</v>
      </c>
      <c r="AH28" s="9" t="str">
        <f t="shared" si="2"/>
        <v>TECHNAL FXI</v>
      </c>
      <c r="AI28" s="9" t="str">
        <f>E10</f>
        <v>32 mm</v>
      </c>
      <c r="AJ28" s="9">
        <f>E14</f>
        <v>1</v>
      </c>
      <c r="AK28" s="9">
        <f>E13</f>
        <v>0</v>
      </c>
      <c r="AL28" s="9" t="s">
        <v>57</v>
      </c>
    </row>
    <row r="29" spans="1:38" s="44" customFormat="1" ht="29.25" customHeight="1" x14ac:dyDescent="0.25">
      <c r="A29" s="36">
        <v>12</v>
      </c>
      <c r="B29" s="37"/>
      <c r="C29" s="37" t="str">
        <f>E8</f>
        <v>TECHNAL FXI</v>
      </c>
      <c r="D29" s="38"/>
      <c r="E29" s="36">
        <v>2010</v>
      </c>
      <c r="F29" s="39" t="str">
        <f>E7</f>
        <v>E5 Clair</v>
      </c>
      <c r="G29" s="40">
        <f>M4-22</f>
        <v>1253</v>
      </c>
      <c r="H29" s="36"/>
      <c r="I29" s="36">
        <f>IF(M28=1,2*E11,0)</f>
        <v>0</v>
      </c>
      <c r="J29" s="41" t="s">
        <v>8</v>
      </c>
      <c r="K29" s="42"/>
      <c r="L29" s="43" t="s">
        <v>53</v>
      </c>
      <c r="M29" s="41"/>
      <c r="N29" s="37"/>
      <c r="O29" s="5"/>
      <c r="P29" s="5"/>
      <c r="Q29" s="5"/>
      <c r="R29" s="5"/>
      <c r="S29" s="5"/>
      <c r="T29" s="5"/>
      <c r="U29" s="5"/>
      <c r="V29" s="9" t="s">
        <v>54</v>
      </c>
      <c r="W29" s="9" t="str">
        <f>E12</f>
        <v>AJO 26 - 006</v>
      </c>
      <c r="X29" s="9" t="str">
        <f>D15&amp;"-"&amp;E15</f>
        <v>1-A1-W2</v>
      </c>
      <c r="Y29" s="9">
        <f t="shared" si="0"/>
        <v>2010</v>
      </c>
      <c r="Z29" s="9" t="str">
        <f t="shared" si="0"/>
        <v>E5 Clair</v>
      </c>
      <c r="AA29" s="9">
        <f t="shared" si="0"/>
        <v>1253</v>
      </c>
      <c r="AB29" s="9">
        <f t="shared" si="0"/>
        <v>0</v>
      </c>
      <c r="AC29" s="9">
        <f t="shared" si="0"/>
        <v>0</v>
      </c>
      <c r="AD29" s="9" t="str">
        <f t="shared" si="0"/>
        <v>mm</v>
      </c>
      <c r="AE29" s="9" t="str">
        <f t="shared" si="1"/>
        <v>-45.0/ 45.0</v>
      </c>
      <c r="AF29" s="9" t="str">
        <f>E5</f>
        <v>O-25035</v>
      </c>
      <c r="AG29" s="9" t="str">
        <f>E6</f>
        <v>Jad Abi Rizk</v>
      </c>
      <c r="AH29" s="9" t="str">
        <f t="shared" si="2"/>
        <v>TECHNAL FXI</v>
      </c>
      <c r="AI29" s="9" t="str">
        <f>E10</f>
        <v>32 mm</v>
      </c>
      <c r="AJ29" s="9">
        <f>E14</f>
        <v>1</v>
      </c>
      <c r="AK29" s="9">
        <f>E13</f>
        <v>0</v>
      </c>
      <c r="AL29" s="9" t="s">
        <v>57</v>
      </c>
    </row>
    <row r="30" spans="1:38" s="44" customFormat="1" ht="29.25" customHeight="1" x14ac:dyDescent="0.25">
      <c r="A30" s="36">
        <v>13</v>
      </c>
      <c r="B30" s="37"/>
      <c r="C30" s="47" t="str">
        <f>E8</f>
        <v>TECHNAL FXI</v>
      </c>
      <c r="D30" s="48"/>
      <c r="E30" s="39">
        <v>8015</v>
      </c>
      <c r="F30" s="39" t="str">
        <f>E7</f>
        <v>E5 Clair</v>
      </c>
      <c r="G30" s="49" t="s">
        <v>60</v>
      </c>
      <c r="H30" s="39"/>
      <c r="I30" s="51"/>
      <c r="J30" s="52" t="s">
        <v>8</v>
      </c>
      <c r="K30" s="42"/>
      <c r="L30" s="43" t="s">
        <v>59</v>
      </c>
      <c r="M30" s="41"/>
      <c r="N30" s="37"/>
      <c r="O30" s="5"/>
      <c r="P30" s="5"/>
      <c r="Q30" s="5"/>
      <c r="R30" s="5"/>
      <c r="S30" s="5"/>
      <c r="T30" s="5"/>
      <c r="U30" s="5"/>
      <c r="V30" s="9" t="s">
        <v>54</v>
      </c>
      <c r="W30" s="9" t="str">
        <f>E12</f>
        <v>AJO 26 - 006</v>
      </c>
      <c r="X30" s="9" t="str">
        <f>D15&amp;"-"&amp;E15</f>
        <v>1-A1-W2</v>
      </c>
      <c r="Y30" s="9">
        <f t="shared" si="0"/>
        <v>8015</v>
      </c>
      <c r="Z30" s="9" t="str">
        <f t="shared" si="0"/>
        <v>E5 Clair</v>
      </c>
      <c r="AA30" s="9" t="str">
        <f t="shared" si="0"/>
        <v>1H+ 1L</v>
      </c>
      <c r="AB30" s="9">
        <f t="shared" si="0"/>
        <v>0</v>
      </c>
      <c r="AC30" s="9">
        <f t="shared" si="0"/>
        <v>0</v>
      </c>
      <c r="AD30" s="9" t="str">
        <f t="shared" si="0"/>
        <v>mm</v>
      </c>
      <c r="AE30" s="9" t="str">
        <f t="shared" si="1"/>
        <v>0.0/ 0.0</v>
      </c>
      <c r="AF30" s="9" t="str">
        <f>E5</f>
        <v>O-25035</v>
      </c>
      <c r="AG30" s="9" t="str">
        <f>E6</f>
        <v>Jad Abi Rizk</v>
      </c>
      <c r="AH30" s="9" t="str">
        <f t="shared" si="2"/>
        <v>TECHNAL FXI</v>
      </c>
      <c r="AI30" s="9" t="str">
        <f>E10</f>
        <v>32 mm</v>
      </c>
      <c r="AJ30" s="9">
        <f>E14</f>
        <v>1</v>
      </c>
      <c r="AK30" s="9">
        <f>E13</f>
        <v>0</v>
      </c>
      <c r="AL30" s="9" t="s">
        <v>57</v>
      </c>
    </row>
    <row r="31" spans="1:38" s="44" customFormat="1" ht="29.25" hidden="1" customHeight="1" x14ac:dyDescent="0.25">
      <c r="A31" s="5"/>
      <c r="B31" s="13"/>
      <c r="C31" s="9"/>
      <c r="D31" s="53"/>
      <c r="E31" s="9"/>
      <c r="F31" s="9"/>
      <c r="G31" s="9"/>
      <c r="H31" s="9"/>
      <c r="I31" s="54"/>
      <c r="J31" s="54"/>
      <c r="K31" s="53"/>
      <c r="L31" s="53"/>
      <c r="M31" s="5"/>
      <c r="N31" s="5"/>
      <c r="O31" s="5"/>
      <c r="P31" s="5"/>
      <c r="Q31" s="5"/>
      <c r="R31" s="5"/>
      <c r="S31" s="5"/>
      <c r="T31" s="5"/>
      <c r="U31" s="5"/>
      <c r="V31" s="9" t="s">
        <v>54</v>
      </c>
      <c r="W31" s="9" t="str">
        <f>E12</f>
        <v>AJO 26 - 006</v>
      </c>
      <c r="X31" s="9" t="str">
        <f>D15&amp;"-"&amp;E15</f>
        <v>1-A1-W2</v>
      </c>
      <c r="Y31" s="9">
        <f t="shared" si="0"/>
        <v>0</v>
      </c>
      <c r="Z31" s="9">
        <f t="shared" si="0"/>
        <v>0</v>
      </c>
      <c r="AA31" s="9">
        <f t="shared" si="0"/>
        <v>0</v>
      </c>
      <c r="AB31" s="9">
        <f t="shared" si="0"/>
        <v>0</v>
      </c>
      <c r="AC31" s="9">
        <f t="shared" si="0"/>
        <v>0</v>
      </c>
      <c r="AD31" s="9">
        <f t="shared" si="0"/>
        <v>0</v>
      </c>
      <c r="AE31" s="9">
        <f t="shared" si="1"/>
        <v>0</v>
      </c>
      <c r="AF31" s="9" t="str">
        <f>E5</f>
        <v>O-25035</v>
      </c>
      <c r="AG31" s="9" t="str">
        <f>E6</f>
        <v>Jad Abi Rizk</v>
      </c>
      <c r="AH31" s="9">
        <f t="shared" si="2"/>
        <v>0</v>
      </c>
      <c r="AI31" s="9" t="str">
        <f>E10</f>
        <v>32 mm</v>
      </c>
      <c r="AJ31" s="9">
        <f>E14</f>
        <v>1</v>
      </c>
      <c r="AK31" s="9">
        <f>E13</f>
        <v>0</v>
      </c>
      <c r="AL31" s="9" t="s">
        <v>57</v>
      </c>
    </row>
    <row r="32" spans="1:38" s="44" customFormat="1" ht="29.25" hidden="1" customHeight="1" x14ac:dyDescent="0.25">
      <c r="A32" s="5"/>
      <c r="B32" s="13"/>
      <c r="C32" s="9"/>
      <c r="D32" s="53"/>
      <c r="E32" s="9"/>
      <c r="F32" s="9"/>
      <c r="G32" s="9"/>
      <c r="H32" s="9"/>
      <c r="I32" s="54"/>
      <c r="J32" s="54"/>
      <c r="K32" s="53"/>
      <c r="L32" s="53"/>
      <c r="M32" s="5"/>
      <c r="N32" s="5"/>
      <c r="O32" s="5"/>
      <c r="P32" s="5"/>
      <c r="Q32" s="5"/>
      <c r="R32" s="5"/>
      <c r="S32" s="5"/>
      <c r="T32" s="5"/>
      <c r="U32" s="5"/>
      <c r="V32" s="9" t="s">
        <v>54</v>
      </c>
      <c r="W32" s="9" t="str">
        <f>E12</f>
        <v>AJO 26 - 006</v>
      </c>
      <c r="X32" s="9" t="str">
        <f>D15&amp;"-"&amp;E15</f>
        <v>1-A1-W2</v>
      </c>
      <c r="Y32" s="9">
        <f t="shared" si="0"/>
        <v>0</v>
      </c>
      <c r="Z32" s="9">
        <f t="shared" si="0"/>
        <v>0</v>
      </c>
      <c r="AA32" s="9">
        <f t="shared" si="0"/>
        <v>0</v>
      </c>
      <c r="AB32" s="9">
        <f t="shared" si="0"/>
        <v>0</v>
      </c>
      <c r="AC32" s="9">
        <f t="shared" si="0"/>
        <v>0</v>
      </c>
      <c r="AD32" s="9">
        <f t="shared" si="0"/>
        <v>0</v>
      </c>
      <c r="AE32" s="9">
        <f t="shared" si="1"/>
        <v>0</v>
      </c>
      <c r="AF32" s="9" t="str">
        <f>E5</f>
        <v>O-25035</v>
      </c>
      <c r="AG32" s="9" t="str">
        <f>E6</f>
        <v>Jad Abi Rizk</v>
      </c>
      <c r="AH32" s="9">
        <f t="shared" si="2"/>
        <v>0</v>
      </c>
      <c r="AI32" s="9" t="str">
        <f>E10</f>
        <v>32 mm</v>
      </c>
      <c r="AJ32" s="9">
        <f>E14</f>
        <v>1</v>
      </c>
      <c r="AK32" s="9">
        <f>E13</f>
        <v>0</v>
      </c>
      <c r="AL32" s="9" t="s">
        <v>57</v>
      </c>
    </row>
    <row r="33" spans="1:38" s="44" customFormat="1" ht="29.25" hidden="1" customHeight="1" x14ac:dyDescent="0.25">
      <c r="A33" s="5"/>
      <c r="B33" s="13"/>
      <c r="C33" s="9"/>
      <c r="D33" s="53"/>
      <c r="E33" s="9"/>
      <c r="F33" s="9"/>
      <c r="G33" s="9"/>
      <c r="H33" s="9"/>
      <c r="I33" s="54"/>
      <c r="J33" s="54"/>
      <c r="K33" s="53"/>
      <c r="L33" s="53"/>
      <c r="M33" s="5"/>
      <c r="N33" s="5"/>
      <c r="O33" s="5"/>
      <c r="P33" s="5"/>
      <c r="Q33" s="5"/>
      <c r="R33" s="5"/>
      <c r="S33" s="5"/>
      <c r="T33" s="5"/>
      <c r="U33" s="5"/>
      <c r="V33" s="9" t="s">
        <v>54</v>
      </c>
      <c r="W33" s="9" t="str">
        <f>E12</f>
        <v>AJO 26 - 006</v>
      </c>
      <c r="X33" s="9" t="str">
        <f>D15&amp;"-"&amp;E15</f>
        <v>1-A1-W2</v>
      </c>
      <c r="Y33" s="9">
        <f t="shared" si="0"/>
        <v>0</v>
      </c>
      <c r="Z33" s="9">
        <f t="shared" si="0"/>
        <v>0</v>
      </c>
      <c r="AA33" s="9">
        <f t="shared" si="0"/>
        <v>0</v>
      </c>
      <c r="AB33" s="9">
        <f t="shared" si="0"/>
        <v>0</v>
      </c>
      <c r="AC33" s="9">
        <f t="shared" si="0"/>
        <v>0</v>
      </c>
      <c r="AD33" s="9">
        <f t="shared" si="0"/>
        <v>0</v>
      </c>
      <c r="AE33" s="9">
        <f t="shared" si="1"/>
        <v>0</v>
      </c>
      <c r="AF33" s="9" t="str">
        <f>E5</f>
        <v>O-25035</v>
      </c>
      <c r="AG33" s="9" t="str">
        <f>E6</f>
        <v>Jad Abi Rizk</v>
      </c>
      <c r="AH33" s="9">
        <f t="shared" si="2"/>
        <v>0</v>
      </c>
      <c r="AI33" s="9" t="str">
        <f>E10</f>
        <v>32 mm</v>
      </c>
      <c r="AJ33" s="9">
        <f>E14</f>
        <v>1</v>
      </c>
      <c r="AK33" s="9">
        <f>E13</f>
        <v>0</v>
      </c>
      <c r="AL33" s="9" t="s">
        <v>57</v>
      </c>
    </row>
    <row r="34" spans="1:38" s="44" customFormat="1" ht="29.25" hidden="1" customHeight="1" x14ac:dyDescent="0.25">
      <c r="A34" s="5"/>
      <c r="B34" s="13"/>
      <c r="C34" s="9"/>
      <c r="D34" s="53"/>
      <c r="E34" s="9"/>
      <c r="F34" s="9"/>
      <c r="G34" s="9"/>
      <c r="H34" s="9"/>
      <c r="I34" s="54"/>
      <c r="J34" s="54"/>
      <c r="K34" s="53"/>
      <c r="L34" s="53"/>
      <c r="M34" s="5"/>
      <c r="N34" s="5"/>
      <c r="O34" s="5"/>
      <c r="P34" s="5"/>
      <c r="Q34" s="5"/>
      <c r="R34" s="5"/>
      <c r="S34" s="5"/>
      <c r="T34" s="5"/>
      <c r="U34" s="5"/>
      <c r="V34" s="9" t="s">
        <v>54</v>
      </c>
      <c r="W34" s="9" t="str">
        <f>E12</f>
        <v>AJO 26 - 006</v>
      </c>
      <c r="X34" s="9" t="str">
        <f>D15&amp;"-"&amp;E15</f>
        <v>1-A1-W2</v>
      </c>
      <c r="Y34" s="9">
        <f t="shared" si="0"/>
        <v>0</v>
      </c>
      <c r="Z34" s="9">
        <f t="shared" si="0"/>
        <v>0</v>
      </c>
      <c r="AA34" s="9">
        <f t="shared" si="0"/>
        <v>0</v>
      </c>
      <c r="AB34" s="9">
        <f t="shared" si="0"/>
        <v>0</v>
      </c>
      <c r="AC34" s="9">
        <f t="shared" si="0"/>
        <v>0</v>
      </c>
      <c r="AD34" s="9">
        <f t="shared" si="0"/>
        <v>0</v>
      </c>
      <c r="AE34" s="9">
        <f t="shared" si="1"/>
        <v>0</v>
      </c>
      <c r="AF34" s="9" t="str">
        <f>E5</f>
        <v>O-25035</v>
      </c>
      <c r="AG34" s="9" t="str">
        <f>E6</f>
        <v>Jad Abi Rizk</v>
      </c>
      <c r="AH34" s="9">
        <f t="shared" si="2"/>
        <v>0</v>
      </c>
      <c r="AI34" s="9" t="str">
        <f>E10</f>
        <v>32 mm</v>
      </c>
      <c r="AJ34" s="9">
        <f>E14</f>
        <v>1</v>
      </c>
      <c r="AK34" s="9">
        <f>E13</f>
        <v>0</v>
      </c>
      <c r="AL34" s="9" t="s">
        <v>57</v>
      </c>
    </row>
    <row r="35" spans="1:38" s="44" customFormat="1" ht="29.25" hidden="1" customHeight="1" x14ac:dyDescent="0.25">
      <c r="A35" s="5"/>
      <c r="B35" s="13"/>
      <c r="C35" s="9"/>
      <c r="D35" s="53"/>
      <c r="E35" s="9"/>
      <c r="F35" s="9"/>
      <c r="G35" s="9"/>
      <c r="H35" s="9"/>
      <c r="I35" s="54"/>
      <c r="J35" s="54"/>
      <c r="K35" s="53"/>
      <c r="L35" s="53"/>
      <c r="M35" s="5"/>
      <c r="N35" s="5"/>
      <c r="O35" s="5"/>
      <c r="P35" s="5"/>
      <c r="Q35" s="5"/>
      <c r="R35" s="5"/>
      <c r="S35" s="5"/>
      <c r="T35" s="5"/>
      <c r="U35" s="5"/>
      <c r="V35" s="9" t="s">
        <v>54</v>
      </c>
      <c r="W35" s="9" t="str">
        <f>E12</f>
        <v>AJO 26 - 006</v>
      </c>
      <c r="X35" s="9" t="str">
        <f>D15&amp;"-"&amp;E15</f>
        <v>1-A1-W2</v>
      </c>
      <c r="Y35" s="9">
        <f t="shared" si="0"/>
        <v>0</v>
      </c>
      <c r="Z35" s="9">
        <f t="shared" si="0"/>
        <v>0</v>
      </c>
      <c r="AA35" s="9">
        <f t="shared" si="0"/>
        <v>0</v>
      </c>
      <c r="AB35" s="9">
        <f t="shared" si="0"/>
        <v>0</v>
      </c>
      <c r="AC35" s="9">
        <f t="shared" si="0"/>
        <v>0</v>
      </c>
      <c r="AD35" s="9">
        <f t="shared" si="0"/>
        <v>0</v>
      </c>
      <c r="AE35" s="9">
        <f t="shared" si="1"/>
        <v>0</v>
      </c>
      <c r="AF35" s="9" t="str">
        <f>E5</f>
        <v>O-25035</v>
      </c>
      <c r="AG35" s="9" t="str">
        <f>E6</f>
        <v>Jad Abi Rizk</v>
      </c>
      <c r="AH35" s="9">
        <f t="shared" si="2"/>
        <v>0</v>
      </c>
      <c r="AI35" s="9" t="str">
        <f>E10</f>
        <v>32 mm</v>
      </c>
      <c r="AJ35" s="9">
        <f>E14</f>
        <v>1</v>
      </c>
      <c r="AK35" s="9">
        <f>E13</f>
        <v>0</v>
      </c>
      <c r="AL35" s="9" t="s">
        <v>57</v>
      </c>
    </row>
    <row r="36" spans="1:38" s="44" customFormat="1" ht="29.25" hidden="1" customHeight="1" x14ac:dyDescent="0.25">
      <c r="A36" s="5"/>
      <c r="B36" s="13"/>
      <c r="C36" s="9"/>
      <c r="D36" s="53"/>
      <c r="E36" s="9"/>
      <c r="F36" s="9"/>
      <c r="G36" s="9"/>
      <c r="H36" s="9"/>
      <c r="I36" s="54"/>
      <c r="J36" s="54"/>
      <c r="K36" s="53"/>
      <c r="L36" s="53"/>
      <c r="M36" s="5"/>
      <c r="N36" s="5"/>
      <c r="O36" s="5"/>
      <c r="P36" s="5"/>
      <c r="Q36" s="5"/>
      <c r="R36" s="5"/>
      <c r="S36" s="5"/>
      <c r="T36" s="5"/>
      <c r="U36" s="5"/>
      <c r="V36" s="53"/>
      <c r="W36" s="55"/>
      <c r="X36" s="55"/>
      <c r="Y36" s="55"/>
      <c r="Z36" s="55"/>
      <c r="AA36" s="55"/>
      <c r="AB36" s="55"/>
      <c r="AC36" s="55"/>
      <c r="AD36" s="55"/>
      <c r="AE36" s="56"/>
      <c r="AF36" s="56"/>
      <c r="AG36" s="56"/>
      <c r="AH36" s="56"/>
      <c r="AI36" s="56"/>
      <c r="AJ36" s="56"/>
      <c r="AK36" s="56"/>
      <c r="AL36" s="56"/>
    </row>
    <row r="37" spans="1:38" s="44" customFormat="1" ht="29.25" hidden="1" customHeight="1" x14ac:dyDescent="0.25">
      <c r="A37" s="5"/>
      <c r="B37" s="13"/>
      <c r="C37" s="9"/>
      <c r="D37" s="53"/>
      <c r="E37" s="9"/>
      <c r="F37" s="9"/>
      <c r="G37" s="9"/>
      <c r="H37" s="9"/>
      <c r="I37" s="54"/>
      <c r="J37" s="54"/>
      <c r="K37" s="53"/>
      <c r="L37" s="53"/>
      <c r="M37" s="5"/>
      <c r="N37" s="5"/>
      <c r="O37" s="5"/>
      <c r="P37" s="5"/>
      <c r="Q37" s="5"/>
      <c r="R37" s="5"/>
      <c r="S37" s="5"/>
      <c r="T37" s="5"/>
      <c r="U37" s="5"/>
      <c r="V37" s="53"/>
      <c r="W37" s="55"/>
      <c r="X37" s="55"/>
      <c r="Y37" s="55"/>
      <c r="Z37" s="55"/>
      <c r="AA37" s="55"/>
      <c r="AB37" s="55"/>
      <c r="AC37" s="55"/>
      <c r="AD37" s="56"/>
      <c r="AE37" s="56"/>
      <c r="AF37" s="56"/>
      <c r="AG37" s="56"/>
      <c r="AH37" s="56"/>
      <c r="AI37" s="56"/>
      <c r="AJ37" s="56"/>
      <c r="AK37" s="56"/>
      <c r="AL37" s="56"/>
    </row>
    <row r="38" spans="1:38" s="44" customFormat="1" ht="29.25" hidden="1" customHeight="1" x14ac:dyDescent="0.25">
      <c r="A38" s="5"/>
      <c r="B38" s="13"/>
      <c r="C38" s="9"/>
      <c r="D38" s="53"/>
      <c r="E38" s="9"/>
      <c r="F38" s="9"/>
      <c r="G38" s="9"/>
      <c r="H38" s="9"/>
      <c r="I38" s="54"/>
      <c r="J38" s="54"/>
      <c r="K38" s="53"/>
      <c r="L38" s="53"/>
      <c r="M38" s="5"/>
      <c r="N38" s="5"/>
      <c r="O38" s="5"/>
      <c r="P38" s="5"/>
      <c r="Q38" s="5"/>
      <c r="R38" s="5"/>
      <c r="S38" s="5"/>
      <c r="T38" s="5"/>
      <c r="U38" s="5"/>
      <c r="V38" s="53"/>
      <c r="W38" s="55"/>
      <c r="X38" s="55"/>
      <c r="Y38" s="55"/>
      <c r="Z38" s="55"/>
      <c r="AA38" s="55"/>
      <c r="AB38" s="55"/>
      <c r="AC38" s="55"/>
      <c r="AD38" s="56"/>
      <c r="AE38" s="56"/>
      <c r="AF38" s="56"/>
      <c r="AG38" s="56"/>
      <c r="AH38" s="56"/>
      <c r="AI38" s="56"/>
      <c r="AJ38" s="56"/>
      <c r="AK38" s="56"/>
      <c r="AL38" s="56"/>
    </row>
    <row r="39" spans="1:38" s="59" customFormat="1" ht="29.1" customHeight="1" thickBot="1" x14ac:dyDescent="0.3">
      <c r="A39" s="57" t="s">
        <v>61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8"/>
      <c r="AE39" s="58"/>
      <c r="AF39" s="58"/>
      <c r="AG39" s="58"/>
      <c r="AH39" s="58"/>
      <c r="AI39" s="58"/>
      <c r="AJ39" s="58"/>
      <c r="AK39" s="58"/>
      <c r="AL39" s="58"/>
    </row>
    <row r="40" spans="1:38" s="7" customFormat="1" ht="29.1" customHeight="1" thickBot="1" x14ac:dyDescent="0.3">
      <c r="A40" s="29" t="s">
        <v>33</v>
      </c>
      <c r="B40" s="30"/>
      <c r="C40" s="31" t="s">
        <v>34</v>
      </c>
      <c r="D40" s="32"/>
      <c r="E40" s="29" t="s">
        <v>62</v>
      </c>
      <c r="F40" s="29" t="s">
        <v>36</v>
      </c>
      <c r="G40" s="29" t="s">
        <v>37</v>
      </c>
      <c r="H40" s="29" t="s">
        <v>38</v>
      </c>
      <c r="I40" s="60" t="s">
        <v>27</v>
      </c>
      <c r="J40" s="60" t="s">
        <v>39</v>
      </c>
      <c r="K40" s="30"/>
      <c r="L40" s="32"/>
      <c r="M40" s="31" t="s">
        <v>63</v>
      </c>
      <c r="N40" s="34"/>
      <c r="O40" s="5"/>
      <c r="P40" s="5"/>
      <c r="Q40" s="5"/>
      <c r="R40" s="5"/>
      <c r="S40" s="5"/>
      <c r="T40" s="5"/>
      <c r="U40" s="5"/>
      <c r="V40" s="4"/>
      <c r="W40" s="4"/>
      <c r="X40" s="4"/>
      <c r="Y40" s="4"/>
      <c r="Z40" s="4"/>
      <c r="AA40" s="4"/>
      <c r="AB40" s="4"/>
      <c r="AC40" s="4"/>
      <c r="AD40" s="6"/>
      <c r="AE40" s="6"/>
      <c r="AF40" s="6"/>
      <c r="AG40" s="6"/>
      <c r="AH40" s="6"/>
      <c r="AI40" s="6"/>
      <c r="AJ40" s="6"/>
      <c r="AK40" s="6"/>
      <c r="AL40" s="6"/>
    </row>
    <row r="41" spans="1:38" s="44" customFormat="1" ht="15.6" customHeight="1" x14ac:dyDescent="0.2">
      <c r="A41" s="51">
        <v>1</v>
      </c>
      <c r="B41" s="61"/>
      <c r="C41" s="47" t="str">
        <f>E8</f>
        <v>TECHNAL FXI</v>
      </c>
      <c r="D41" s="48"/>
      <c r="E41" s="39" t="s">
        <v>64</v>
      </c>
      <c r="F41" s="39"/>
      <c r="G41" s="39"/>
      <c r="H41" s="51"/>
      <c r="I41" s="39">
        <f>8*E11</f>
        <v>8</v>
      </c>
      <c r="J41" s="39" t="s">
        <v>65</v>
      </c>
      <c r="K41" s="62"/>
      <c r="L41" s="63"/>
      <c r="M41" s="5"/>
      <c r="N41" s="5"/>
      <c r="O41" s="5"/>
      <c r="P41" s="5"/>
      <c r="Q41" s="5"/>
      <c r="R41" s="5"/>
      <c r="S41" s="5"/>
      <c r="T41" s="5"/>
      <c r="U41" s="5"/>
      <c r="V41" s="35" t="s">
        <v>66</v>
      </c>
      <c r="W41" s="9" t="str">
        <f>E12</f>
        <v>AJO 26 - 006</v>
      </c>
      <c r="X41" s="9" t="str">
        <f>D15&amp;"-"&amp;E15</f>
        <v>1-A1-W2</v>
      </c>
      <c r="Y41" s="9" t="str">
        <f t="shared" ref="Y41:AD64" si="3">E41</f>
        <v>EE001</v>
      </c>
      <c r="Z41" s="9">
        <f t="shared" si="3"/>
        <v>0</v>
      </c>
      <c r="AA41" s="9">
        <f t="shared" si="3"/>
        <v>0</v>
      </c>
      <c r="AB41" s="9">
        <f t="shared" si="3"/>
        <v>0</v>
      </c>
      <c r="AC41" s="9">
        <f t="shared" si="3"/>
        <v>8</v>
      </c>
      <c r="AD41" s="9" t="str">
        <f t="shared" si="3"/>
        <v>pcs</v>
      </c>
      <c r="AE41" s="9">
        <f t="shared" ref="AE41:AE64" si="4">L41</f>
        <v>0</v>
      </c>
      <c r="AF41" s="9" t="str">
        <f>E5</f>
        <v>O-25035</v>
      </c>
      <c r="AG41" s="9" t="str">
        <f>E6</f>
        <v>Jad Abi Rizk</v>
      </c>
      <c r="AH41" s="9" t="str">
        <f t="shared" ref="AH41:AH64" si="5">C41</f>
        <v>TECHNAL FXI</v>
      </c>
      <c r="AI41" s="9" t="str">
        <f>E10</f>
        <v>32 mm</v>
      </c>
      <c r="AJ41" s="9">
        <f>E14</f>
        <v>1</v>
      </c>
      <c r="AK41" s="9">
        <f>E13</f>
        <v>0</v>
      </c>
      <c r="AL41" s="9" t="s">
        <v>57</v>
      </c>
    </row>
    <row r="42" spans="1:38" s="44" customFormat="1" ht="15.6" customHeight="1" x14ac:dyDescent="0.2">
      <c r="A42" s="51">
        <v>2</v>
      </c>
      <c r="B42" s="61"/>
      <c r="C42" s="47" t="str">
        <f>E8</f>
        <v>TECHNAL FXI</v>
      </c>
      <c r="D42" s="48"/>
      <c r="E42" s="39" t="s">
        <v>67</v>
      </c>
      <c r="F42" s="39"/>
      <c r="G42" s="39"/>
      <c r="H42" s="39"/>
      <c r="I42" s="39">
        <f>4*E11</f>
        <v>4</v>
      </c>
      <c r="J42" s="39" t="s">
        <v>65</v>
      </c>
      <c r="K42" s="62"/>
      <c r="L42" s="64"/>
      <c r="M42" s="37"/>
      <c r="N42" s="37"/>
      <c r="O42" s="5"/>
      <c r="P42" s="5"/>
      <c r="Q42" s="5"/>
      <c r="R42" s="5"/>
      <c r="S42" s="5"/>
      <c r="T42" s="5"/>
      <c r="U42" s="5"/>
      <c r="V42" s="35" t="s">
        <v>66</v>
      </c>
      <c r="W42" s="9" t="str">
        <f>E12</f>
        <v>AJO 26 - 006</v>
      </c>
      <c r="X42" s="9" t="str">
        <f>D15&amp;"-"&amp;E15</f>
        <v>1-A1-W2</v>
      </c>
      <c r="Y42" s="9" t="str">
        <f t="shared" si="3"/>
        <v>CF005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4</v>
      </c>
      <c r="AD42" s="9" t="str">
        <f t="shared" si="3"/>
        <v>pcs</v>
      </c>
      <c r="AE42" s="9">
        <f t="shared" si="4"/>
        <v>0</v>
      </c>
      <c r="AF42" s="9" t="str">
        <f>E5</f>
        <v>O-25035</v>
      </c>
      <c r="AG42" s="9" t="str">
        <f>E6</f>
        <v>Jad Abi Rizk</v>
      </c>
      <c r="AH42" s="9" t="str">
        <f t="shared" si="5"/>
        <v>TECHNAL FXI</v>
      </c>
      <c r="AI42" s="9" t="str">
        <f>E10</f>
        <v>32 mm</v>
      </c>
      <c r="AJ42" s="9">
        <f>E14</f>
        <v>1</v>
      </c>
      <c r="AK42" s="9">
        <f>E13</f>
        <v>0</v>
      </c>
      <c r="AL42" s="9" t="s">
        <v>57</v>
      </c>
    </row>
    <row r="43" spans="1:38" s="44" customFormat="1" ht="15.6" customHeight="1" x14ac:dyDescent="0.2">
      <c r="A43" s="51">
        <v>3</v>
      </c>
      <c r="B43" s="61"/>
      <c r="C43" s="47" t="str">
        <f>E8</f>
        <v>TECHNAL FXI</v>
      </c>
      <c r="D43" s="48"/>
      <c r="E43" s="39" t="s">
        <v>68</v>
      </c>
      <c r="F43" s="39"/>
      <c r="G43" s="39"/>
      <c r="H43" s="51"/>
      <c r="I43" s="39">
        <f>2*E11</f>
        <v>2</v>
      </c>
      <c r="J43" s="39" t="s">
        <v>65</v>
      </c>
      <c r="K43" s="62"/>
      <c r="L43" s="64"/>
      <c r="M43" s="5"/>
      <c r="N43" s="5"/>
      <c r="O43" s="5"/>
      <c r="P43" s="5"/>
      <c r="Q43" s="5"/>
      <c r="R43" s="5"/>
      <c r="S43" s="5"/>
      <c r="T43" s="5"/>
      <c r="U43" s="5"/>
      <c r="V43" s="35" t="s">
        <v>66</v>
      </c>
      <c r="W43" s="9" t="str">
        <f>E12</f>
        <v>AJO 26 - 006</v>
      </c>
      <c r="X43" s="9" t="str">
        <f>D15&amp;"-"&amp;E15</f>
        <v>1-A1-W2</v>
      </c>
      <c r="Y43" s="9" t="str">
        <f t="shared" si="3"/>
        <v>CF018</v>
      </c>
      <c r="Z43" s="9">
        <f t="shared" si="3"/>
        <v>0</v>
      </c>
      <c r="AA43" s="9">
        <f t="shared" si="3"/>
        <v>0</v>
      </c>
      <c r="AB43" s="9">
        <f t="shared" si="3"/>
        <v>0</v>
      </c>
      <c r="AC43" s="9">
        <f t="shared" si="3"/>
        <v>2</v>
      </c>
      <c r="AD43" s="9" t="str">
        <f t="shared" si="3"/>
        <v>pcs</v>
      </c>
      <c r="AE43" s="9">
        <f t="shared" si="4"/>
        <v>0</v>
      </c>
      <c r="AF43" s="9" t="str">
        <f>E5</f>
        <v>O-25035</v>
      </c>
      <c r="AG43" s="9" t="str">
        <f>E6</f>
        <v>Jad Abi Rizk</v>
      </c>
      <c r="AH43" s="9" t="str">
        <f t="shared" si="5"/>
        <v>TECHNAL FXI</v>
      </c>
      <c r="AI43" s="9" t="str">
        <f>E10</f>
        <v>32 mm</v>
      </c>
      <c r="AJ43" s="9">
        <f>E14</f>
        <v>1</v>
      </c>
      <c r="AK43" s="9">
        <f>E13</f>
        <v>0</v>
      </c>
      <c r="AL43" s="9" t="s">
        <v>57</v>
      </c>
    </row>
    <row r="44" spans="1:38" s="44" customFormat="1" ht="15.6" customHeight="1" x14ac:dyDescent="0.2">
      <c r="A44" s="51">
        <v>4</v>
      </c>
      <c r="B44" s="61"/>
      <c r="C44" s="47" t="str">
        <f>E8</f>
        <v>TECHNAL FXI</v>
      </c>
      <c r="D44" s="48"/>
      <c r="E44" s="39" t="s">
        <v>69</v>
      </c>
      <c r="F44" s="39"/>
      <c r="G44" s="39"/>
      <c r="H44" s="51"/>
      <c r="I44" s="39">
        <f>8*E11</f>
        <v>8</v>
      </c>
      <c r="J44" s="39" t="s">
        <v>65</v>
      </c>
      <c r="K44" s="62"/>
      <c r="L44" s="64"/>
      <c r="M44" s="37"/>
      <c r="N44" s="37"/>
      <c r="O44" s="5"/>
      <c r="P44" s="5"/>
      <c r="Q44" s="5"/>
      <c r="R44" s="5"/>
      <c r="S44" s="5"/>
      <c r="T44" s="5"/>
      <c r="U44" s="5"/>
      <c r="V44" s="35" t="s">
        <v>66</v>
      </c>
      <c r="W44" s="9" t="str">
        <f>E12</f>
        <v>AJO 26 - 006</v>
      </c>
      <c r="X44" s="9" t="str">
        <f>D15&amp;"-"&amp;E15</f>
        <v>1-A1-W2</v>
      </c>
      <c r="Y44" s="9" t="str">
        <f t="shared" si="3"/>
        <v>CF023</v>
      </c>
      <c r="Z44" s="9">
        <f t="shared" si="3"/>
        <v>0</v>
      </c>
      <c r="AA44" s="9">
        <f t="shared" si="3"/>
        <v>0</v>
      </c>
      <c r="AB44" s="9">
        <f t="shared" si="3"/>
        <v>0</v>
      </c>
      <c r="AC44" s="9">
        <f t="shared" si="3"/>
        <v>8</v>
      </c>
      <c r="AD44" s="9" t="str">
        <f t="shared" si="3"/>
        <v>pcs</v>
      </c>
      <c r="AE44" s="9">
        <f t="shared" si="4"/>
        <v>0</v>
      </c>
      <c r="AF44" s="9" t="str">
        <f>E5</f>
        <v>O-25035</v>
      </c>
      <c r="AG44" s="9" t="str">
        <f>E6</f>
        <v>Jad Abi Rizk</v>
      </c>
      <c r="AH44" s="9" t="str">
        <f t="shared" si="5"/>
        <v>TECHNAL FXI</v>
      </c>
      <c r="AI44" s="9" t="str">
        <f>E10</f>
        <v>32 mm</v>
      </c>
      <c r="AJ44" s="9">
        <f>E14</f>
        <v>1</v>
      </c>
      <c r="AK44" s="9">
        <f>E13</f>
        <v>0</v>
      </c>
      <c r="AL44" s="9" t="s">
        <v>57</v>
      </c>
    </row>
    <row r="45" spans="1:38" s="44" customFormat="1" ht="15.6" customHeight="1" x14ac:dyDescent="0.2">
      <c r="A45" s="51">
        <v>5</v>
      </c>
      <c r="B45" s="61"/>
      <c r="C45" s="47" t="str">
        <f>E8</f>
        <v>TECHNAL FXI</v>
      </c>
      <c r="D45" s="48"/>
      <c r="E45" s="39" t="s">
        <v>70</v>
      </c>
      <c r="F45" s="39"/>
      <c r="G45" s="39"/>
      <c r="H45" s="51"/>
      <c r="I45" s="39">
        <f>1*E11</f>
        <v>1</v>
      </c>
      <c r="J45" s="39" t="s">
        <v>65</v>
      </c>
      <c r="K45" s="62"/>
      <c r="L45" s="64"/>
      <c r="M45" s="5"/>
      <c r="N45" s="5"/>
      <c r="O45" s="5"/>
      <c r="P45" s="5"/>
      <c r="Q45" s="5"/>
      <c r="R45" s="5"/>
      <c r="S45" s="5"/>
      <c r="T45" s="5"/>
      <c r="U45" s="5"/>
      <c r="V45" s="35" t="s">
        <v>66</v>
      </c>
      <c r="W45" s="9" t="str">
        <f>E12</f>
        <v>AJO 26 - 006</v>
      </c>
      <c r="X45" s="9" t="str">
        <f>D15&amp;"-"&amp;E15</f>
        <v>1-A1-W2</v>
      </c>
      <c r="Y45" s="9" t="str">
        <f t="shared" si="3"/>
        <v>KF012</v>
      </c>
      <c r="Z45" s="9">
        <f t="shared" si="3"/>
        <v>0</v>
      </c>
      <c r="AA45" s="9">
        <f t="shared" si="3"/>
        <v>0</v>
      </c>
      <c r="AB45" s="9">
        <f t="shared" si="3"/>
        <v>0</v>
      </c>
      <c r="AC45" s="9">
        <f t="shared" si="3"/>
        <v>1</v>
      </c>
      <c r="AD45" s="9" t="str">
        <f t="shared" si="3"/>
        <v>pcs</v>
      </c>
      <c r="AE45" s="9">
        <f t="shared" si="4"/>
        <v>0</v>
      </c>
      <c r="AF45" s="9" t="str">
        <f>E5</f>
        <v>O-25035</v>
      </c>
      <c r="AG45" s="9" t="str">
        <f>E6</f>
        <v>Jad Abi Rizk</v>
      </c>
      <c r="AH45" s="9" t="str">
        <f t="shared" si="5"/>
        <v>TECHNAL FXI</v>
      </c>
      <c r="AI45" s="9" t="str">
        <f>E10</f>
        <v>32 mm</v>
      </c>
      <c r="AJ45" s="9">
        <f>E14</f>
        <v>1</v>
      </c>
      <c r="AK45" s="9">
        <f>E13</f>
        <v>0</v>
      </c>
      <c r="AL45" s="9">
        <f>M10</f>
        <v>500</v>
      </c>
    </row>
    <row r="46" spans="1:38" s="44" customFormat="1" ht="15.6" customHeight="1" x14ac:dyDescent="0.2">
      <c r="A46" s="51">
        <v>6</v>
      </c>
      <c r="B46" s="61"/>
      <c r="C46" s="47" t="str">
        <f>E8</f>
        <v>TECHNAL FXI</v>
      </c>
      <c r="D46" s="48"/>
      <c r="E46" s="39" t="s">
        <v>71</v>
      </c>
      <c r="F46" s="39"/>
      <c r="G46" s="39"/>
      <c r="H46" s="51"/>
      <c r="I46" s="39">
        <f>1*E11</f>
        <v>1</v>
      </c>
      <c r="J46" s="39" t="s">
        <v>65</v>
      </c>
      <c r="K46" s="62"/>
      <c r="L46" s="64"/>
      <c r="M46" s="65"/>
      <c r="N46" s="37"/>
      <c r="O46" s="5"/>
      <c r="P46" s="5"/>
      <c r="Q46" s="5"/>
      <c r="R46" s="5"/>
      <c r="S46" s="5"/>
      <c r="T46" s="5"/>
      <c r="U46" s="5"/>
      <c r="V46" s="35" t="s">
        <v>66</v>
      </c>
      <c r="W46" s="9" t="str">
        <f>E12</f>
        <v>AJO 26 - 006</v>
      </c>
      <c r="X46" s="9" t="str">
        <f>D15&amp;"-"&amp;E15</f>
        <v>1-A1-W2</v>
      </c>
      <c r="Y46" s="9" t="str">
        <f t="shared" si="3"/>
        <v>KF037</v>
      </c>
      <c r="Z46" s="9">
        <f t="shared" si="3"/>
        <v>0</v>
      </c>
      <c r="AA46" s="9">
        <f t="shared" si="3"/>
        <v>0</v>
      </c>
      <c r="AB46" s="9">
        <f t="shared" si="3"/>
        <v>0</v>
      </c>
      <c r="AC46" s="9">
        <f t="shared" si="3"/>
        <v>1</v>
      </c>
      <c r="AD46" s="9" t="str">
        <f t="shared" si="3"/>
        <v>pcs</v>
      </c>
      <c r="AE46" s="9">
        <f t="shared" si="4"/>
        <v>0</v>
      </c>
      <c r="AF46" s="9" t="str">
        <f>E5</f>
        <v>O-25035</v>
      </c>
      <c r="AG46" s="9" t="str">
        <f>E6</f>
        <v>Jad Abi Rizk</v>
      </c>
      <c r="AH46" s="9" t="str">
        <f t="shared" si="5"/>
        <v>TECHNAL FXI</v>
      </c>
      <c r="AI46" s="9" t="str">
        <f>E10</f>
        <v>32 mm</v>
      </c>
      <c r="AJ46" s="9">
        <f>E14</f>
        <v>1</v>
      </c>
      <c r="AK46" s="9">
        <f>E13</f>
        <v>0</v>
      </c>
      <c r="AL46" s="9">
        <f>M10</f>
        <v>500</v>
      </c>
    </row>
    <row r="47" spans="1:38" s="44" customFormat="1" ht="15.6" customHeight="1" x14ac:dyDescent="0.2">
      <c r="A47" s="51">
        <v>7</v>
      </c>
      <c r="B47" s="61"/>
      <c r="C47" s="47" t="str">
        <f>E8</f>
        <v>TECHNAL FXI</v>
      </c>
      <c r="D47" s="48"/>
      <c r="E47" s="39" t="s">
        <v>72</v>
      </c>
      <c r="F47" s="39"/>
      <c r="G47" s="39"/>
      <c r="H47" s="51"/>
      <c r="I47" s="39">
        <f>2*E11</f>
        <v>2</v>
      </c>
      <c r="J47" s="39" t="s">
        <v>65</v>
      </c>
      <c r="K47" s="62"/>
      <c r="L47" s="64"/>
      <c r="M47" s="65"/>
      <c r="N47" s="5"/>
      <c r="O47" s="5"/>
      <c r="P47" s="5"/>
      <c r="Q47" s="5"/>
      <c r="R47" s="5"/>
      <c r="S47" s="5"/>
      <c r="T47" s="5"/>
      <c r="U47" s="5"/>
      <c r="V47" s="35" t="s">
        <v>66</v>
      </c>
      <c r="W47" s="9" t="str">
        <f>E12</f>
        <v>AJO 26 - 006</v>
      </c>
      <c r="X47" s="9" t="str">
        <f>D15&amp;"-"&amp;E15</f>
        <v>1-A1-W2</v>
      </c>
      <c r="Y47" s="9" t="str">
        <f t="shared" si="3"/>
        <v>CF019</v>
      </c>
      <c r="Z47" s="9">
        <f t="shared" si="3"/>
        <v>0</v>
      </c>
      <c r="AA47" s="9">
        <f t="shared" si="3"/>
        <v>0</v>
      </c>
      <c r="AB47" s="9">
        <f t="shared" si="3"/>
        <v>0</v>
      </c>
      <c r="AC47" s="9">
        <f t="shared" si="3"/>
        <v>2</v>
      </c>
      <c r="AD47" s="9" t="str">
        <f t="shared" si="3"/>
        <v>pcs</v>
      </c>
      <c r="AE47" s="9">
        <f t="shared" si="4"/>
        <v>0</v>
      </c>
      <c r="AF47" s="9" t="str">
        <f>E5</f>
        <v>O-25035</v>
      </c>
      <c r="AG47" s="9" t="str">
        <f>E6</f>
        <v>Jad Abi Rizk</v>
      </c>
      <c r="AH47" s="9" t="str">
        <f t="shared" si="5"/>
        <v>TECHNAL FXI</v>
      </c>
      <c r="AI47" s="9" t="str">
        <f>E10</f>
        <v>32 mm</v>
      </c>
      <c r="AJ47" s="9">
        <f>E14</f>
        <v>1</v>
      </c>
      <c r="AK47" s="9">
        <f>E13</f>
        <v>0</v>
      </c>
      <c r="AL47" s="9" t="s">
        <v>57</v>
      </c>
    </row>
    <row r="48" spans="1:38" s="44" customFormat="1" ht="15.6" customHeight="1" x14ac:dyDescent="0.2">
      <c r="A48" s="51">
        <v>8</v>
      </c>
      <c r="B48" s="61"/>
      <c r="C48" s="47" t="str">
        <f>E8</f>
        <v>TECHNAL FXI</v>
      </c>
      <c r="D48" s="48"/>
      <c r="E48" s="39" t="s">
        <v>73</v>
      </c>
      <c r="F48" s="39"/>
      <c r="G48" s="39"/>
      <c r="H48" s="51"/>
      <c r="I48" s="39">
        <f>1*E11</f>
        <v>1</v>
      </c>
      <c r="J48" s="39" t="s">
        <v>65</v>
      </c>
      <c r="K48" s="62"/>
      <c r="L48" s="64"/>
      <c r="M48" s="65"/>
      <c r="N48" s="37"/>
      <c r="O48" s="5"/>
      <c r="P48" s="5"/>
      <c r="Q48" s="5"/>
      <c r="R48" s="5"/>
      <c r="S48" s="5"/>
      <c r="T48" s="5"/>
      <c r="U48" s="5"/>
      <c r="V48" s="35" t="s">
        <v>66</v>
      </c>
      <c r="W48" s="9" t="str">
        <f>E12</f>
        <v>AJO 26 - 006</v>
      </c>
      <c r="X48" s="9" t="str">
        <f>D15&amp;"-"&amp;E15</f>
        <v>1-A1-W2</v>
      </c>
      <c r="Y48" s="9" t="str">
        <f t="shared" si="3"/>
        <v>CF013</v>
      </c>
      <c r="Z48" s="9">
        <f t="shared" si="3"/>
        <v>0</v>
      </c>
      <c r="AA48" s="9">
        <f t="shared" si="3"/>
        <v>0</v>
      </c>
      <c r="AB48" s="9">
        <f t="shared" si="3"/>
        <v>0</v>
      </c>
      <c r="AC48" s="9">
        <f t="shared" si="3"/>
        <v>1</v>
      </c>
      <c r="AD48" s="9" t="str">
        <f t="shared" si="3"/>
        <v>pcs</v>
      </c>
      <c r="AE48" s="9">
        <f t="shared" si="4"/>
        <v>0</v>
      </c>
      <c r="AF48" s="9" t="str">
        <f>E5</f>
        <v>O-25035</v>
      </c>
      <c r="AG48" s="9" t="str">
        <f>E6</f>
        <v>Jad Abi Rizk</v>
      </c>
      <c r="AH48" s="9" t="str">
        <f t="shared" si="5"/>
        <v>TECHNAL FXI</v>
      </c>
      <c r="AI48" s="9" t="str">
        <f>E10</f>
        <v>32 mm</v>
      </c>
      <c r="AJ48" s="9">
        <f>E14</f>
        <v>1</v>
      </c>
      <c r="AK48" s="9">
        <f>E13</f>
        <v>0</v>
      </c>
      <c r="AL48" s="9" t="s">
        <v>57</v>
      </c>
    </row>
    <row r="49" spans="1:38" s="44" customFormat="1" ht="15.6" customHeight="1" x14ac:dyDescent="0.2">
      <c r="A49" s="51">
        <v>9</v>
      </c>
      <c r="B49" s="61"/>
      <c r="C49" s="47" t="str">
        <f>E8</f>
        <v>TECHNAL FXI</v>
      </c>
      <c r="D49" s="48"/>
      <c r="E49" s="39" t="s">
        <v>74</v>
      </c>
      <c r="F49" s="39"/>
      <c r="G49" s="39"/>
      <c r="H49" s="51"/>
      <c r="I49" s="39">
        <f>1*E11</f>
        <v>1</v>
      </c>
      <c r="J49" s="39" t="s">
        <v>65</v>
      </c>
      <c r="K49" s="62"/>
      <c r="L49" s="64"/>
      <c r="M49" s="65"/>
      <c r="N49" s="5"/>
      <c r="O49" s="5"/>
      <c r="P49" s="5"/>
      <c r="Q49" s="5"/>
      <c r="R49" s="5"/>
      <c r="S49" s="5"/>
      <c r="T49" s="5"/>
      <c r="U49" s="5"/>
      <c r="V49" s="35" t="s">
        <v>66</v>
      </c>
      <c r="W49" s="9" t="str">
        <f>E12</f>
        <v>AJO 26 - 006</v>
      </c>
      <c r="X49" s="9" t="str">
        <f>D15&amp;"-"&amp;E15</f>
        <v>1-A1-W2</v>
      </c>
      <c r="Y49" s="9" t="str">
        <f t="shared" si="3"/>
        <v>KF030</v>
      </c>
      <c r="Z49" s="9">
        <f t="shared" si="3"/>
        <v>0</v>
      </c>
      <c r="AA49" s="9">
        <f t="shared" si="3"/>
        <v>0</v>
      </c>
      <c r="AB49" s="9">
        <f t="shared" si="3"/>
        <v>0</v>
      </c>
      <c r="AC49" s="9">
        <f t="shared" si="3"/>
        <v>1</v>
      </c>
      <c r="AD49" s="9" t="str">
        <f t="shared" si="3"/>
        <v>pcs</v>
      </c>
      <c r="AE49" s="9">
        <f t="shared" si="4"/>
        <v>0</v>
      </c>
      <c r="AF49" s="9" t="str">
        <f>E5</f>
        <v>O-25035</v>
      </c>
      <c r="AG49" s="9" t="str">
        <f>E6</f>
        <v>Jad Abi Rizk</v>
      </c>
      <c r="AH49" s="9" t="str">
        <f t="shared" si="5"/>
        <v>TECHNAL FXI</v>
      </c>
      <c r="AI49" s="9" t="str">
        <f>E10</f>
        <v>32 mm</v>
      </c>
      <c r="AJ49" s="9">
        <f>E14</f>
        <v>1</v>
      </c>
      <c r="AK49" s="9">
        <f>E13</f>
        <v>0</v>
      </c>
      <c r="AL49" s="9">
        <f>M10</f>
        <v>500</v>
      </c>
    </row>
    <row r="50" spans="1:38" s="44" customFormat="1" ht="15.6" customHeight="1" x14ac:dyDescent="0.2">
      <c r="A50" s="51">
        <v>10</v>
      </c>
      <c r="B50" s="61"/>
      <c r="C50" s="47" t="str">
        <f>E8</f>
        <v>TECHNAL FXI</v>
      </c>
      <c r="D50" s="48"/>
      <c r="E50" s="39" t="s">
        <v>75</v>
      </c>
      <c r="F50" s="39"/>
      <c r="G50" s="66"/>
      <c r="H50" s="66"/>
      <c r="I50" s="66">
        <f>(2*I8+2*M4)*E11</f>
        <v>3970</v>
      </c>
      <c r="J50" s="39" t="s">
        <v>65</v>
      </c>
      <c r="K50" s="62"/>
      <c r="L50" s="64"/>
      <c r="M50" s="37"/>
      <c r="N50" s="37"/>
      <c r="O50" s="5"/>
      <c r="P50" s="5"/>
      <c r="Q50" s="5"/>
      <c r="R50" s="5"/>
      <c r="S50" s="5"/>
      <c r="T50" s="5"/>
      <c r="U50" s="5"/>
      <c r="V50" s="35" t="s">
        <v>66</v>
      </c>
      <c r="W50" s="9" t="str">
        <f>E12</f>
        <v>AJO 26 - 006</v>
      </c>
      <c r="X50" s="9" t="str">
        <f>D15&amp;"-"&amp;E15</f>
        <v>1-A1-W2</v>
      </c>
      <c r="Y50" s="9" t="str">
        <f t="shared" si="3"/>
        <v>JF001</v>
      </c>
      <c r="Z50" s="9">
        <f t="shared" si="3"/>
        <v>0</v>
      </c>
      <c r="AA50" s="9">
        <f t="shared" si="3"/>
        <v>0</v>
      </c>
      <c r="AB50" s="9">
        <f t="shared" si="3"/>
        <v>0</v>
      </c>
      <c r="AC50" s="9">
        <f t="shared" si="3"/>
        <v>3970</v>
      </c>
      <c r="AD50" s="9" t="str">
        <f t="shared" si="3"/>
        <v>pcs</v>
      </c>
      <c r="AE50" s="9">
        <f t="shared" si="4"/>
        <v>0</v>
      </c>
      <c r="AF50" s="9" t="str">
        <f>E5</f>
        <v>O-25035</v>
      </c>
      <c r="AG50" s="9" t="str">
        <f>E6</f>
        <v>Jad Abi Rizk</v>
      </c>
      <c r="AH50" s="9" t="str">
        <f t="shared" si="5"/>
        <v>TECHNAL FXI</v>
      </c>
      <c r="AI50" s="9" t="str">
        <f>E10</f>
        <v>32 mm</v>
      </c>
      <c r="AJ50" s="9">
        <f>E14</f>
        <v>1</v>
      </c>
      <c r="AK50" s="9">
        <f>E13</f>
        <v>0</v>
      </c>
      <c r="AL50" s="9" t="s">
        <v>57</v>
      </c>
    </row>
    <row r="51" spans="1:38" s="44" customFormat="1" ht="15.6" customHeight="1" x14ac:dyDescent="0.2">
      <c r="A51" s="51">
        <v>11</v>
      </c>
      <c r="B51" s="61"/>
      <c r="C51" s="47" t="str">
        <f>E8</f>
        <v>TECHNAL FXI</v>
      </c>
      <c r="D51" s="48"/>
      <c r="E51" s="39" t="s">
        <v>76</v>
      </c>
      <c r="F51" s="39"/>
      <c r="G51" s="66"/>
      <c r="H51" s="66"/>
      <c r="I51" s="66">
        <f>(4*I8+4*M4)*E11</f>
        <v>7940</v>
      </c>
      <c r="J51" s="39" t="s">
        <v>65</v>
      </c>
      <c r="K51" s="62"/>
      <c r="L51" s="64"/>
      <c r="M51" s="5"/>
      <c r="N51" s="5"/>
      <c r="O51" s="5"/>
      <c r="P51" s="5"/>
      <c r="Q51" s="5"/>
      <c r="R51" s="5"/>
      <c r="S51" s="5"/>
      <c r="T51" s="5"/>
      <c r="U51" s="5"/>
      <c r="V51" s="35" t="s">
        <v>66</v>
      </c>
      <c r="W51" s="9" t="str">
        <f>E12</f>
        <v>AJO 26 - 006</v>
      </c>
      <c r="X51" s="9" t="str">
        <f>D15&amp;"-"&amp;E15</f>
        <v>1-A1-W2</v>
      </c>
      <c r="Y51" s="9" t="str">
        <f t="shared" si="3"/>
        <v>JF002</v>
      </c>
      <c r="Z51" s="9">
        <f t="shared" si="3"/>
        <v>0</v>
      </c>
      <c r="AA51" s="9">
        <f t="shared" si="3"/>
        <v>0</v>
      </c>
      <c r="AB51" s="9">
        <f t="shared" si="3"/>
        <v>0</v>
      </c>
      <c r="AC51" s="9">
        <f t="shared" si="3"/>
        <v>7940</v>
      </c>
      <c r="AD51" s="9" t="str">
        <f t="shared" si="3"/>
        <v>pcs</v>
      </c>
      <c r="AE51" s="9">
        <f t="shared" si="4"/>
        <v>0</v>
      </c>
      <c r="AF51" s="9" t="str">
        <f>E5</f>
        <v>O-25035</v>
      </c>
      <c r="AG51" s="9" t="str">
        <f>E6</f>
        <v>Jad Abi Rizk</v>
      </c>
      <c r="AH51" s="9" t="str">
        <f t="shared" si="5"/>
        <v>TECHNAL FXI</v>
      </c>
      <c r="AI51" s="9" t="str">
        <f>E10</f>
        <v>32 mm</v>
      </c>
      <c r="AJ51" s="9">
        <f>E14</f>
        <v>1</v>
      </c>
      <c r="AK51" s="9">
        <f>E13</f>
        <v>0</v>
      </c>
      <c r="AL51" s="9" t="s">
        <v>57</v>
      </c>
    </row>
    <row r="52" spans="1:38" s="44" customFormat="1" ht="15.6" customHeight="1" x14ac:dyDescent="0.2">
      <c r="A52" s="51">
        <v>12</v>
      </c>
      <c r="B52" s="61"/>
      <c r="C52" s="47" t="str">
        <f>E8</f>
        <v>TECHNAL FXI</v>
      </c>
      <c r="D52" s="48"/>
      <c r="E52" s="39" t="s">
        <v>77</v>
      </c>
      <c r="F52" s="39"/>
      <c r="G52" s="66"/>
      <c r="H52" s="66"/>
      <c r="I52" s="66">
        <f>(2*I8+2*M4)*E11</f>
        <v>3970</v>
      </c>
      <c r="J52" s="39" t="s">
        <v>65</v>
      </c>
      <c r="K52" s="62"/>
      <c r="L52" s="64"/>
      <c r="M52" s="37"/>
      <c r="N52" s="37"/>
      <c r="O52" s="5"/>
      <c r="P52" s="5"/>
      <c r="Q52" s="5"/>
      <c r="R52" s="5"/>
      <c r="S52" s="5"/>
      <c r="T52" s="5"/>
      <c r="U52" s="5"/>
      <c r="V52" s="35" t="s">
        <v>66</v>
      </c>
      <c r="W52" s="9" t="str">
        <f>E12</f>
        <v>AJO 26 - 006</v>
      </c>
      <c r="X52" s="9" t="str">
        <f>D15&amp;"-"&amp;E15</f>
        <v>1-A1-W2</v>
      </c>
      <c r="Y52" s="9" t="str">
        <f t="shared" si="3"/>
        <v>JF005</v>
      </c>
      <c r="Z52" s="9">
        <f t="shared" si="3"/>
        <v>0</v>
      </c>
      <c r="AA52" s="9">
        <f t="shared" si="3"/>
        <v>0</v>
      </c>
      <c r="AB52" s="9">
        <f t="shared" si="3"/>
        <v>0</v>
      </c>
      <c r="AC52" s="9">
        <f t="shared" si="3"/>
        <v>3970</v>
      </c>
      <c r="AD52" s="9" t="str">
        <f t="shared" si="3"/>
        <v>pcs</v>
      </c>
      <c r="AE52" s="9">
        <f t="shared" si="4"/>
        <v>0</v>
      </c>
      <c r="AF52" s="9" t="str">
        <f>E5</f>
        <v>O-25035</v>
      </c>
      <c r="AG52" s="9" t="str">
        <f>E6</f>
        <v>Jad Abi Rizk</v>
      </c>
      <c r="AH52" s="9" t="str">
        <f t="shared" si="5"/>
        <v>TECHNAL FXI</v>
      </c>
      <c r="AI52" s="9" t="str">
        <f>E10</f>
        <v>32 mm</v>
      </c>
      <c r="AJ52" s="9">
        <f>E14</f>
        <v>1</v>
      </c>
      <c r="AK52" s="9">
        <f>E13</f>
        <v>0</v>
      </c>
      <c r="AL52" s="9" t="s">
        <v>57</v>
      </c>
    </row>
    <row r="53" spans="1:38" s="44" customFormat="1" ht="15.6" customHeight="1" x14ac:dyDescent="0.2">
      <c r="A53" s="51">
        <v>13</v>
      </c>
      <c r="B53" s="61"/>
      <c r="C53" s="47" t="str">
        <f>E8</f>
        <v>TECHNAL FXI</v>
      </c>
      <c r="D53" s="48"/>
      <c r="E53" s="39">
        <v>1472</v>
      </c>
      <c r="F53" s="39"/>
      <c r="G53" s="66"/>
      <c r="H53" s="66"/>
      <c r="I53" s="66">
        <f>2*E11</f>
        <v>2</v>
      </c>
      <c r="J53" s="39" t="s">
        <v>65</v>
      </c>
      <c r="K53" s="62"/>
      <c r="L53" s="64"/>
      <c r="M53" s="37"/>
      <c r="N53" s="37"/>
      <c r="O53" s="5"/>
      <c r="P53" s="5"/>
      <c r="Q53" s="5"/>
      <c r="R53" s="5"/>
      <c r="S53" s="5"/>
      <c r="T53" s="5"/>
      <c r="U53" s="5"/>
      <c r="V53" s="35" t="s">
        <v>66</v>
      </c>
      <c r="W53" s="9" t="str">
        <f>E12</f>
        <v>AJO 26 - 006</v>
      </c>
      <c r="X53" s="9" t="str">
        <f>D15&amp;"-"&amp;E15</f>
        <v>1-A1-W2</v>
      </c>
      <c r="Y53" s="9">
        <f t="shared" si="3"/>
        <v>1472</v>
      </c>
      <c r="Z53" s="9">
        <f t="shared" si="3"/>
        <v>0</v>
      </c>
      <c r="AA53" s="9">
        <f t="shared" si="3"/>
        <v>0</v>
      </c>
      <c r="AB53" s="9">
        <f t="shared" si="3"/>
        <v>0</v>
      </c>
      <c r="AC53" s="9">
        <f t="shared" si="3"/>
        <v>2</v>
      </c>
      <c r="AD53" s="9" t="str">
        <f t="shared" si="3"/>
        <v>pcs</v>
      </c>
      <c r="AE53" s="9">
        <f t="shared" si="4"/>
        <v>0</v>
      </c>
      <c r="AF53" s="9" t="str">
        <f>E5</f>
        <v>O-25035</v>
      </c>
      <c r="AG53" s="9" t="str">
        <f>E6</f>
        <v>Jad Abi Rizk</v>
      </c>
      <c r="AH53" s="9" t="str">
        <f t="shared" si="5"/>
        <v>TECHNAL FXI</v>
      </c>
      <c r="AI53" s="9" t="str">
        <f>E10</f>
        <v>32 mm</v>
      </c>
      <c r="AJ53" s="9">
        <f>E14</f>
        <v>1</v>
      </c>
      <c r="AK53" s="9">
        <f>E13</f>
        <v>0</v>
      </c>
      <c r="AL53" s="9" t="s">
        <v>57</v>
      </c>
    </row>
    <row r="54" spans="1:38" s="44" customFormat="1" ht="15.6" customHeight="1" x14ac:dyDescent="0.2">
      <c r="A54" s="51">
        <v>14</v>
      </c>
      <c r="B54" s="61"/>
      <c r="C54" s="65" t="s">
        <v>78</v>
      </c>
      <c r="D54" s="48"/>
      <c r="E54" s="39" t="s">
        <v>79</v>
      </c>
      <c r="F54" s="39"/>
      <c r="G54" s="66"/>
      <c r="H54" s="66"/>
      <c r="I54" s="66">
        <f>IF(M54=1,1*E11,0*E11)</f>
        <v>0</v>
      </c>
      <c r="J54" s="39" t="s">
        <v>65</v>
      </c>
      <c r="K54" s="62"/>
      <c r="L54" s="64"/>
      <c r="M54" s="5"/>
      <c r="N54" s="5" t="s">
        <v>80</v>
      </c>
      <c r="O54" s="5"/>
      <c r="P54" s="5"/>
      <c r="Q54" s="5"/>
      <c r="R54" s="5"/>
      <c r="S54" s="5"/>
      <c r="T54" s="5"/>
      <c r="U54" s="5"/>
      <c r="V54" s="35" t="s">
        <v>66</v>
      </c>
      <c r="W54" s="9" t="str">
        <f>E12</f>
        <v>AJO 26 - 006</v>
      </c>
      <c r="X54" s="9" t="str">
        <f>D15&amp;"-"&amp;E15</f>
        <v>1-A1-W2</v>
      </c>
      <c r="Y54" s="9" t="str">
        <f t="shared" si="3"/>
        <v>KF045</v>
      </c>
      <c r="Z54" s="9">
        <f t="shared" si="3"/>
        <v>0</v>
      </c>
      <c r="AA54" s="9">
        <f t="shared" si="3"/>
        <v>0</v>
      </c>
      <c r="AB54" s="9">
        <f t="shared" si="3"/>
        <v>0</v>
      </c>
      <c r="AC54" s="9">
        <f t="shared" si="3"/>
        <v>0</v>
      </c>
      <c r="AD54" s="9" t="str">
        <f t="shared" si="3"/>
        <v>pcs</v>
      </c>
      <c r="AE54" s="9">
        <f t="shared" si="4"/>
        <v>0</v>
      </c>
      <c r="AF54" s="9" t="str">
        <f>E5</f>
        <v>O-25035</v>
      </c>
      <c r="AG54" s="9" t="str">
        <f>E6</f>
        <v>Jad Abi Rizk</v>
      </c>
      <c r="AH54" s="9" t="str">
        <f t="shared" si="5"/>
        <v>Compas Securite</v>
      </c>
      <c r="AI54" s="9" t="str">
        <f>E10</f>
        <v>32 mm</v>
      </c>
      <c r="AJ54" s="9">
        <f>E14</f>
        <v>1</v>
      </c>
      <c r="AK54" s="9">
        <f>E13</f>
        <v>0</v>
      </c>
      <c r="AL54" s="9" t="s">
        <v>57</v>
      </c>
    </row>
    <row r="55" spans="1:38" s="44" customFormat="1" ht="15.6" customHeight="1" x14ac:dyDescent="0.2">
      <c r="A55" s="51">
        <v>15</v>
      </c>
      <c r="B55" s="61"/>
      <c r="C55" s="47" t="str">
        <f>E8</f>
        <v>TECHNAL FXI</v>
      </c>
      <c r="D55" s="48"/>
      <c r="E55" s="39">
        <v>1112</v>
      </c>
      <c r="F55" s="39"/>
      <c r="G55" s="66"/>
      <c r="H55" s="66"/>
      <c r="I55" s="66">
        <f>IF(M55=1,0,(I22*G22+I23*G23+I24*G24+I25*G25)/1000*3)</f>
        <v>12.803999999999998</v>
      </c>
      <c r="J55" s="39" t="s">
        <v>65</v>
      </c>
      <c r="K55" s="62"/>
      <c r="L55" s="64"/>
      <c r="M55" s="67">
        <v>0</v>
      </c>
      <c r="N55" s="68" t="s">
        <v>81</v>
      </c>
      <c r="O55" s="5"/>
      <c r="P55" s="5"/>
      <c r="Q55" s="5"/>
      <c r="R55" s="5"/>
      <c r="S55" s="5"/>
      <c r="T55" s="5"/>
      <c r="U55" s="5"/>
      <c r="V55" s="35" t="s">
        <v>66</v>
      </c>
      <c r="W55" s="9" t="str">
        <f>E12</f>
        <v>AJO 26 - 006</v>
      </c>
      <c r="X55" s="9" t="str">
        <f>D15&amp;"-"&amp;E15</f>
        <v>1-A1-W2</v>
      </c>
      <c r="Y55" s="9">
        <f t="shared" si="3"/>
        <v>1112</v>
      </c>
      <c r="Z55" s="9">
        <f t="shared" si="3"/>
        <v>0</v>
      </c>
      <c r="AA55" s="9">
        <f t="shared" si="3"/>
        <v>0</v>
      </c>
      <c r="AB55" s="9">
        <f t="shared" si="3"/>
        <v>0</v>
      </c>
      <c r="AC55" s="9">
        <f t="shared" si="3"/>
        <v>12.803999999999998</v>
      </c>
      <c r="AD55" s="9" t="str">
        <f t="shared" si="3"/>
        <v>pcs</v>
      </c>
      <c r="AE55" s="9">
        <f t="shared" si="4"/>
        <v>0</v>
      </c>
      <c r="AF55" s="9" t="str">
        <f>E5</f>
        <v>O-25035</v>
      </c>
      <c r="AG55" s="9" t="str">
        <f>E6</f>
        <v>Jad Abi Rizk</v>
      </c>
      <c r="AH55" s="9" t="str">
        <f t="shared" si="5"/>
        <v>TECHNAL FXI</v>
      </c>
      <c r="AI55" s="9" t="str">
        <f>E10</f>
        <v>32 mm</v>
      </c>
      <c r="AJ55" s="9">
        <f>E14</f>
        <v>1</v>
      </c>
      <c r="AK55" s="9">
        <f>E13</f>
        <v>0</v>
      </c>
      <c r="AL55" s="9" t="s">
        <v>57</v>
      </c>
    </row>
    <row r="56" spans="1:38" s="44" customFormat="1" ht="15.6" customHeight="1" x14ac:dyDescent="0.2">
      <c r="A56" s="51">
        <v>16</v>
      </c>
      <c r="B56" s="61"/>
      <c r="C56" s="47" t="str">
        <f>E8</f>
        <v>TECHNAL FXI</v>
      </c>
      <c r="D56" s="48"/>
      <c r="E56" s="39">
        <v>2649</v>
      </c>
      <c r="F56" s="39"/>
      <c r="G56" s="66"/>
      <c r="H56" s="66"/>
      <c r="I56" s="66">
        <f>IF(M26=0,(I26*G26+I27*G27)/1000*5,0)</f>
        <v>0</v>
      </c>
      <c r="J56" s="39" t="s">
        <v>65</v>
      </c>
      <c r="K56" s="69"/>
      <c r="L56" s="70"/>
      <c r="M56" s="37"/>
      <c r="N56" s="37"/>
      <c r="O56" s="5"/>
      <c r="P56" s="5"/>
      <c r="Q56" s="5"/>
      <c r="R56" s="5"/>
      <c r="S56" s="5"/>
      <c r="T56" s="5"/>
      <c r="U56" s="5"/>
      <c r="V56" s="35" t="s">
        <v>66</v>
      </c>
      <c r="W56" s="9" t="str">
        <f>E12</f>
        <v>AJO 26 - 006</v>
      </c>
      <c r="X56" s="9" t="str">
        <f>D15&amp;"-"&amp;E15</f>
        <v>1-A1-W2</v>
      </c>
      <c r="Y56" s="9">
        <f t="shared" si="3"/>
        <v>2649</v>
      </c>
      <c r="Z56" s="9">
        <f t="shared" si="3"/>
        <v>0</v>
      </c>
      <c r="AA56" s="9">
        <f t="shared" si="3"/>
        <v>0</v>
      </c>
      <c r="AB56" s="9">
        <f t="shared" si="3"/>
        <v>0</v>
      </c>
      <c r="AC56" s="9">
        <f t="shared" si="3"/>
        <v>0</v>
      </c>
      <c r="AD56" s="9" t="str">
        <f t="shared" si="3"/>
        <v>pcs</v>
      </c>
      <c r="AE56" s="9">
        <f t="shared" si="4"/>
        <v>0</v>
      </c>
      <c r="AF56" s="9" t="str">
        <f>E5</f>
        <v>O-25035</v>
      </c>
      <c r="AG56" s="9" t="str">
        <f>E6</f>
        <v>Jad Abi Rizk</v>
      </c>
      <c r="AH56" s="9" t="str">
        <f t="shared" si="5"/>
        <v>TECHNAL FXI</v>
      </c>
      <c r="AI56" s="9" t="str">
        <f>E10</f>
        <v>32 mm</v>
      </c>
      <c r="AJ56" s="9">
        <f>E14</f>
        <v>1</v>
      </c>
      <c r="AK56" s="9">
        <f>E13</f>
        <v>0</v>
      </c>
      <c r="AL56" s="9" t="s">
        <v>57</v>
      </c>
    </row>
    <row r="57" spans="1:38" s="44" customFormat="1" ht="15.6" customHeight="1" x14ac:dyDescent="0.2">
      <c r="A57" s="51">
        <v>17</v>
      </c>
      <c r="B57" s="61"/>
      <c r="C57" s="47" t="str">
        <f>E8</f>
        <v>TECHNAL FXI</v>
      </c>
      <c r="D57" s="48"/>
      <c r="E57" s="39" t="s">
        <v>82</v>
      </c>
      <c r="F57" s="39"/>
      <c r="G57" s="39"/>
      <c r="H57" s="51"/>
      <c r="I57" s="39">
        <f>4*E11</f>
        <v>4</v>
      </c>
      <c r="J57" s="39" t="s">
        <v>65</v>
      </c>
      <c r="K57" s="69"/>
      <c r="L57" s="70"/>
      <c r="M57" s="37"/>
      <c r="N57" s="37"/>
      <c r="O57" s="5"/>
      <c r="P57" s="5"/>
      <c r="Q57" s="5"/>
      <c r="R57" s="5"/>
      <c r="S57" s="5"/>
      <c r="T57" s="5"/>
      <c r="U57" s="5"/>
      <c r="V57" s="35" t="s">
        <v>66</v>
      </c>
      <c r="W57" s="35" t="str">
        <f>E12</f>
        <v>AJO 26 - 006</v>
      </c>
      <c r="X57" s="9" t="str">
        <f>D15&amp;"-"&amp;E15</f>
        <v>1-A1-W2</v>
      </c>
      <c r="Y57" s="35" t="str">
        <f t="shared" si="3"/>
        <v>EE012</v>
      </c>
      <c r="Z57" s="35">
        <f t="shared" si="3"/>
        <v>0</v>
      </c>
      <c r="AA57" s="35">
        <f t="shared" si="3"/>
        <v>0</v>
      </c>
      <c r="AB57" s="35">
        <f t="shared" si="3"/>
        <v>0</v>
      </c>
      <c r="AC57" s="9">
        <f t="shared" si="3"/>
        <v>4</v>
      </c>
      <c r="AD57" s="35" t="str">
        <f t="shared" si="3"/>
        <v>pcs</v>
      </c>
      <c r="AE57" s="35">
        <f t="shared" si="4"/>
        <v>0</v>
      </c>
      <c r="AF57" s="35" t="str">
        <f>E5</f>
        <v>O-25035</v>
      </c>
      <c r="AG57" s="35" t="str">
        <f>E6</f>
        <v>Jad Abi Rizk</v>
      </c>
      <c r="AH57" s="35" t="str">
        <f t="shared" si="5"/>
        <v>TECHNAL FXI</v>
      </c>
      <c r="AI57" s="35" t="str">
        <f>E10</f>
        <v>32 mm</v>
      </c>
      <c r="AJ57" s="35">
        <f>E14</f>
        <v>1</v>
      </c>
      <c r="AK57" s="35">
        <f>E13</f>
        <v>0</v>
      </c>
      <c r="AL57" s="9" t="s">
        <v>57</v>
      </c>
    </row>
    <row r="58" spans="1:38" s="44" customFormat="1" ht="15.6" hidden="1" customHeight="1" x14ac:dyDescent="0.2">
      <c r="A58" s="5"/>
      <c r="B58" s="71"/>
      <c r="C58" s="5"/>
      <c r="D58" s="55"/>
      <c r="E58" s="10"/>
      <c r="F58" s="10"/>
      <c r="G58" s="10"/>
      <c r="H58" s="10"/>
      <c r="I58" s="5"/>
      <c r="J58" s="5"/>
      <c r="K58" s="55"/>
      <c r="L58" s="55"/>
      <c r="M58" s="5"/>
      <c r="N58" s="5"/>
      <c r="O58" s="5"/>
      <c r="P58" s="5"/>
      <c r="Q58" s="5"/>
      <c r="R58" s="5"/>
      <c r="S58" s="5"/>
      <c r="T58" s="5"/>
      <c r="U58" s="5"/>
      <c r="V58" s="35" t="s">
        <v>66</v>
      </c>
      <c r="W58" s="9" t="str">
        <f>E12</f>
        <v>AJO 26 - 006</v>
      </c>
      <c r="X58" s="9" t="str">
        <f>D15&amp;"-"&amp;E15</f>
        <v>1-A1-W2</v>
      </c>
      <c r="Y58" s="9">
        <f t="shared" si="3"/>
        <v>0</v>
      </c>
      <c r="Z58" s="9">
        <f t="shared" si="3"/>
        <v>0</v>
      </c>
      <c r="AA58" s="9">
        <f t="shared" si="3"/>
        <v>0</v>
      </c>
      <c r="AB58" s="9">
        <f t="shared" si="3"/>
        <v>0</v>
      </c>
      <c r="AC58" s="9">
        <f t="shared" si="3"/>
        <v>0</v>
      </c>
      <c r="AD58" s="9">
        <f t="shared" si="3"/>
        <v>0</v>
      </c>
      <c r="AE58" s="9">
        <f t="shared" si="4"/>
        <v>0</v>
      </c>
      <c r="AF58" s="9" t="str">
        <f>E5</f>
        <v>O-25035</v>
      </c>
      <c r="AG58" s="9" t="str">
        <f>E6</f>
        <v>Jad Abi Rizk</v>
      </c>
      <c r="AH58" s="9">
        <f t="shared" si="5"/>
        <v>0</v>
      </c>
      <c r="AI58" s="9" t="str">
        <f>E10</f>
        <v>32 mm</v>
      </c>
      <c r="AJ58" s="9">
        <f>E14</f>
        <v>1</v>
      </c>
      <c r="AK58" s="9">
        <f>E13</f>
        <v>0</v>
      </c>
      <c r="AL58" s="9" t="s">
        <v>57</v>
      </c>
    </row>
    <row r="59" spans="1:38" s="44" customFormat="1" ht="15.6" hidden="1" customHeight="1" x14ac:dyDescent="0.2">
      <c r="A59" s="5"/>
      <c r="B59" s="71"/>
      <c r="C59" s="5"/>
      <c r="D59" s="55"/>
      <c r="E59" s="10"/>
      <c r="F59" s="10"/>
      <c r="G59" s="10"/>
      <c r="H59" s="10"/>
      <c r="I59" s="5"/>
      <c r="J59" s="5"/>
      <c r="K59" s="55"/>
      <c r="L59" s="55"/>
      <c r="M59" s="5"/>
      <c r="N59" s="5"/>
      <c r="O59" s="5"/>
      <c r="P59" s="5"/>
      <c r="Q59" s="5"/>
      <c r="R59" s="5"/>
      <c r="S59" s="5"/>
      <c r="T59" s="5"/>
      <c r="U59" s="5"/>
      <c r="V59" s="35" t="s">
        <v>66</v>
      </c>
      <c r="W59" s="35" t="str">
        <f>E12</f>
        <v>AJO 26 - 006</v>
      </c>
      <c r="X59" s="9" t="str">
        <f>D15&amp;"-"&amp;E15</f>
        <v>1-A1-W2</v>
      </c>
      <c r="Y59" s="35">
        <f t="shared" si="3"/>
        <v>0</v>
      </c>
      <c r="Z59" s="35">
        <f t="shared" si="3"/>
        <v>0</v>
      </c>
      <c r="AA59" s="35">
        <f t="shared" si="3"/>
        <v>0</v>
      </c>
      <c r="AB59" s="35">
        <f t="shared" si="3"/>
        <v>0</v>
      </c>
      <c r="AC59" s="9">
        <f t="shared" si="3"/>
        <v>0</v>
      </c>
      <c r="AD59" s="35">
        <f t="shared" si="3"/>
        <v>0</v>
      </c>
      <c r="AE59" s="35">
        <f t="shared" si="4"/>
        <v>0</v>
      </c>
      <c r="AF59" s="35" t="str">
        <f>E5</f>
        <v>O-25035</v>
      </c>
      <c r="AG59" s="35" t="str">
        <f>E6</f>
        <v>Jad Abi Rizk</v>
      </c>
      <c r="AH59" s="35">
        <f t="shared" si="5"/>
        <v>0</v>
      </c>
      <c r="AI59" s="35" t="str">
        <f>E10</f>
        <v>32 mm</v>
      </c>
      <c r="AJ59" s="35">
        <f>E14</f>
        <v>1</v>
      </c>
      <c r="AK59" s="35">
        <f>E13</f>
        <v>0</v>
      </c>
      <c r="AL59" s="9" t="s">
        <v>57</v>
      </c>
    </row>
    <row r="60" spans="1:38" s="44" customFormat="1" ht="15.6" hidden="1" customHeight="1" x14ac:dyDescent="0.2">
      <c r="A60" s="5"/>
      <c r="B60" s="71"/>
      <c r="C60" s="5"/>
      <c r="D60" s="55"/>
      <c r="E60" s="10"/>
      <c r="F60" s="10"/>
      <c r="G60" s="10"/>
      <c r="H60" s="10"/>
      <c r="I60" s="5"/>
      <c r="J60" s="5"/>
      <c r="K60" s="55"/>
      <c r="L60" s="55"/>
      <c r="M60" s="5"/>
      <c r="N60" s="5"/>
      <c r="O60" s="5"/>
      <c r="P60" s="5"/>
      <c r="Q60" s="5"/>
      <c r="R60" s="5"/>
      <c r="S60" s="5"/>
      <c r="T60" s="5"/>
      <c r="U60" s="5"/>
      <c r="V60" s="35" t="s">
        <v>66</v>
      </c>
      <c r="W60" s="35" t="str">
        <f>E12</f>
        <v>AJO 26 - 006</v>
      </c>
      <c r="X60" s="9" t="str">
        <f>D15&amp;"-"&amp;E15</f>
        <v>1-A1-W2</v>
      </c>
      <c r="Y60" s="35">
        <f t="shared" si="3"/>
        <v>0</v>
      </c>
      <c r="Z60" s="35">
        <f t="shared" si="3"/>
        <v>0</v>
      </c>
      <c r="AA60" s="35">
        <f t="shared" si="3"/>
        <v>0</v>
      </c>
      <c r="AB60" s="35">
        <f t="shared" si="3"/>
        <v>0</v>
      </c>
      <c r="AC60" s="9">
        <f t="shared" si="3"/>
        <v>0</v>
      </c>
      <c r="AD60" s="35">
        <f t="shared" si="3"/>
        <v>0</v>
      </c>
      <c r="AE60" s="35">
        <f t="shared" si="4"/>
        <v>0</v>
      </c>
      <c r="AF60" s="35" t="str">
        <f>E5</f>
        <v>O-25035</v>
      </c>
      <c r="AG60" s="35" t="str">
        <f>E6</f>
        <v>Jad Abi Rizk</v>
      </c>
      <c r="AH60" s="35">
        <f t="shared" si="5"/>
        <v>0</v>
      </c>
      <c r="AI60" s="35" t="str">
        <f>E10</f>
        <v>32 mm</v>
      </c>
      <c r="AJ60" s="35">
        <f>E14</f>
        <v>1</v>
      </c>
      <c r="AK60" s="35">
        <f>E13</f>
        <v>0</v>
      </c>
      <c r="AL60" s="9" t="s">
        <v>57</v>
      </c>
    </row>
    <row r="61" spans="1:38" s="44" customFormat="1" ht="15.6" hidden="1" customHeight="1" x14ac:dyDescent="0.2">
      <c r="A61" s="5"/>
      <c r="B61" s="71"/>
      <c r="C61" s="5"/>
      <c r="D61" s="55"/>
      <c r="E61" s="10"/>
      <c r="F61" s="10"/>
      <c r="G61" s="10"/>
      <c r="H61" s="10"/>
      <c r="I61" s="5"/>
      <c r="J61" s="5"/>
      <c r="K61" s="55"/>
      <c r="L61" s="55"/>
      <c r="M61" s="5"/>
      <c r="N61" s="5"/>
      <c r="O61" s="5"/>
      <c r="P61" s="5"/>
      <c r="Q61" s="5"/>
      <c r="R61" s="5"/>
      <c r="S61" s="5"/>
      <c r="T61" s="5"/>
      <c r="U61" s="5"/>
      <c r="V61" s="35" t="s">
        <v>66</v>
      </c>
      <c r="W61" s="35" t="str">
        <f>E12</f>
        <v>AJO 26 - 006</v>
      </c>
      <c r="X61" s="9" t="str">
        <f>D15&amp;"-"&amp;E15</f>
        <v>1-A1-W2</v>
      </c>
      <c r="Y61" s="35">
        <f t="shared" si="3"/>
        <v>0</v>
      </c>
      <c r="Z61" s="35">
        <f t="shared" si="3"/>
        <v>0</v>
      </c>
      <c r="AA61" s="35">
        <f t="shared" si="3"/>
        <v>0</v>
      </c>
      <c r="AB61" s="35">
        <f t="shared" si="3"/>
        <v>0</v>
      </c>
      <c r="AC61" s="9">
        <f t="shared" si="3"/>
        <v>0</v>
      </c>
      <c r="AD61" s="35">
        <f t="shared" si="3"/>
        <v>0</v>
      </c>
      <c r="AE61" s="35">
        <f t="shared" si="4"/>
        <v>0</v>
      </c>
      <c r="AF61" s="35" t="str">
        <f>E5</f>
        <v>O-25035</v>
      </c>
      <c r="AG61" s="35" t="str">
        <f>E6</f>
        <v>Jad Abi Rizk</v>
      </c>
      <c r="AH61" s="35">
        <f t="shared" si="5"/>
        <v>0</v>
      </c>
      <c r="AI61" s="35" t="str">
        <f>E10</f>
        <v>32 mm</v>
      </c>
      <c r="AJ61" s="35">
        <f>E14</f>
        <v>1</v>
      </c>
      <c r="AK61" s="35">
        <f>E13</f>
        <v>0</v>
      </c>
      <c r="AL61" s="9" t="s">
        <v>57</v>
      </c>
    </row>
    <row r="62" spans="1:38" s="44" customFormat="1" ht="15.6" hidden="1" customHeight="1" x14ac:dyDescent="0.2">
      <c r="A62" s="5"/>
      <c r="B62" s="71"/>
      <c r="C62" s="5"/>
      <c r="D62" s="55"/>
      <c r="E62" s="10"/>
      <c r="F62" s="10"/>
      <c r="G62" s="10"/>
      <c r="H62" s="10"/>
      <c r="I62" s="5"/>
      <c r="J62" s="5"/>
      <c r="K62" s="55"/>
      <c r="L62" s="55"/>
      <c r="M62" s="5"/>
      <c r="N62" s="5"/>
      <c r="O62" s="5"/>
      <c r="P62" s="5"/>
      <c r="Q62" s="5"/>
      <c r="R62" s="5"/>
      <c r="S62" s="5"/>
      <c r="T62" s="5"/>
      <c r="U62" s="5"/>
      <c r="V62" s="35" t="s">
        <v>66</v>
      </c>
      <c r="W62" s="35" t="str">
        <f>E12</f>
        <v>AJO 26 - 006</v>
      </c>
      <c r="X62" s="9" t="str">
        <f>D15&amp;"-"&amp;E15</f>
        <v>1-A1-W2</v>
      </c>
      <c r="Y62" s="35">
        <f t="shared" si="3"/>
        <v>0</v>
      </c>
      <c r="Z62" s="35">
        <f t="shared" si="3"/>
        <v>0</v>
      </c>
      <c r="AA62" s="35">
        <f t="shared" si="3"/>
        <v>0</v>
      </c>
      <c r="AB62" s="35">
        <f t="shared" si="3"/>
        <v>0</v>
      </c>
      <c r="AC62" s="9">
        <f t="shared" si="3"/>
        <v>0</v>
      </c>
      <c r="AD62" s="35">
        <f t="shared" si="3"/>
        <v>0</v>
      </c>
      <c r="AE62" s="35">
        <f t="shared" si="4"/>
        <v>0</v>
      </c>
      <c r="AF62" s="35" t="str">
        <f>E5</f>
        <v>O-25035</v>
      </c>
      <c r="AG62" s="35" t="str">
        <f>E6</f>
        <v>Jad Abi Rizk</v>
      </c>
      <c r="AH62" s="35">
        <f t="shared" si="5"/>
        <v>0</v>
      </c>
      <c r="AI62" s="35" t="str">
        <f>E10</f>
        <v>32 mm</v>
      </c>
      <c r="AJ62" s="35">
        <f>E14</f>
        <v>1</v>
      </c>
      <c r="AK62" s="35">
        <f>E13</f>
        <v>0</v>
      </c>
      <c r="AL62" s="35" t="s">
        <v>57</v>
      </c>
    </row>
    <row r="63" spans="1:38" s="44" customFormat="1" ht="15.6" hidden="1" customHeight="1" x14ac:dyDescent="0.2">
      <c r="A63" s="5"/>
      <c r="B63" s="71"/>
      <c r="C63" s="5"/>
      <c r="D63" s="55"/>
      <c r="E63" s="10"/>
      <c r="F63" s="10"/>
      <c r="G63" s="10"/>
      <c r="H63" s="10"/>
      <c r="I63" s="5"/>
      <c r="J63" s="5"/>
      <c r="K63" s="55"/>
      <c r="L63" s="55"/>
      <c r="M63" s="5"/>
      <c r="N63" s="5"/>
      <c r="O63" s="5"/>
      <c r="P63" s="5"/>
      <c r="Q63" s="5"/>
      <c r="R63" s="5"/>
      <c r="S63" s="5"/>
      <c r="T63" s="5"/>
      <c r="U63" s="5"/>
      <c r="V63" s="35" t="s">
        <v>66</v>
      </c>
      <c r="W63" s="35" t="str">
        <f>E12</f>
        <v>AJO 26 - 006</v>
      </c>
      <c r="X63" s="9" t="str">
        <f>D15&amp;"-"&amp;E15</f>
        <v>1-A1-W2</v>
      </c>
      <c r="Y63" s="35">
        <f t="shared" si="3"/>
        <v>0</v>
      </c>
      <c r="Z63" s="35">
        <f t="shared" si="3"/>
        <v>0</v>
      </c>
      <c r="AA63" s="35">
        <f t="shared" si="3"/>
        <v>0</v>
      </c>
      <c r="AB63" s="35">
        <f t="shared" si="3"/>
        <v>0</v>
      </c>
      <c r="AC63" s="9">
        <f t="shared" si="3"/>
        <v>0</v>
      </c>
      <c r="AD63" s="35">
        <f t="shared" si="3"/>
        <v>0</v>
      </c>
      <c r="AE63" s="35">
        <f t="shared" si="4"/>
        <v>0</v>
      </c>
      <c r="AF63" s="35" t="str">
        <f>E5</f>
        <v>O-25035</v>
      </c>
      <c r="AG63" s="35" t="str">
        <f>E6</f>
        <v>Jad Abi Rizk</v>
      </c>
      <c r="AH63" s="35">
        <f t="shared" si="5"/>
        <v>0</v>
      </c>
      <c r="AI63" s="35" t="str">
        <f>E10</f>
        <v>32 mm</v>
      </c>
      <c r="AJ63" s="35">
        <f>E14</f>
        <v>1</v>
      </c>
      <c r="AK63" s="35">
        <f>E13</f>
        <v>0</v>
      </c>
      <c r="AL63" s="35" t="s">
        <v>57</v>
      </c>
    </row>
    <row r="64" spans="1:38" s="44" customFormat="1" ht="15.6" hidden="1" customHeight="1" x14ac:dyDescent="0.2">
      <c r="A64" s="5"/>
      <c r="B64" s="71"/>
      <c r="C64" s="5"/>
      <c r="D64" s="55"/>
      <c r="E64" s="10"/>
      <c r="F64" s="10"/>
      <c r="G64" s="10"/>
      <c r="H64" s="10"/>
      <c r="I64" s="5"/>
      <c r="J64" s="5"/>
      <c r="K64" s="55"/>
      <c r="L64" s="55"/>
      <c r="M64" s="5"/>
      <c r="N64" s="5"/>
      <c r="O64" s="5"/>
      <c r="P64" s="5"/>
      <c r="Q64" s="5"/>
      <c r="R64" s="5"/>
      <c r="S64" s="5"/>
      <c r="T64" s="5"/>
      <c r="U64" s="5"/>
      <c r="V64" s="35" t="s">
        <v>66</v>
      </c>
      <c r="W64" s="35" t="str">
        <f>E12</f>
        <v>AJO 26 - 006</v>
      </c>
      <c r="X64" s="9" t="str">
        <f>D15&amp;"-"&amp;E15</f>
        <v>1-A1-W2</v>
      </c>
      <c r="Y64" s="35">
        <f t="shared" si="3"/>
        <v>0</v>
      </c>
      <c r="Z64" s="35">
        <f t="shared" si="3"/>
        <v>0</v>
      </c>
      <c r="AA64" s="35">
        <f t="shared" si="3"/>
        <v>0</v>
      </c>
      <c r="AB64" s="35">
        <f t="shared" si="3"/>
        <v>0</v>
      </c>
      <c r="AC64" s="9">
        <f t="shared" si="3"/>
        <v>0</v>
      </c>
      <c r="AD64" s="35">
        <f t="shared" si="3"/>
        <v>0</v>
      </c>
      <c r="AE64" s="35">
        <f t="shared" si="4"/>
        <v>0</v>
      </c>
      <c r="AF64" s="35" t="str">
        <f>E5</f>
        <v>O-25035</v>
      </c>
      <c r="AG64" s="35" t="str">
        <f>E6</f>
        <v>Jad Abi Rizk</v>
      </c>
      <c r="AH64" s="35">
        <f t="shared" si="5"/>
        <v>0</v>
      </c>
      <c r="AI64" s="35" t="str">
        <f>E10</f>
        <v>32 mm</v>
      </c>
      <c r="AJ64" s="35">
        <f>E14</f>
        <v>1</v>
      </c>
      <c r="AK64" s="35">
        <f>E13</f>
        <v>0</v>
      </c>
      <c r="AL64" s="9" t="s">
        <v>57</v>
      </c>
    </row>
    <row r="65" spans="1:38" s="44" customFormat="1" ht="15.6" hidden="1" customHeight="1" x14ac:dyDescent="0.25">
      <c r="A65" s="5"/>
      <c r="B65" s="71"/>
      <c r="C65" s="5"/>
      <c r="D65" s="55"/>
      <c r="E65" s="10"/>
      <c r="F65" s="10"/>
      <c r="G65" s="10"/>
      <c r="H65" s="10"/>
      <c r="I65" s="5"/>
      <c r="J65" s="5"/>
      <c r="K65" s="55"/>
      <c r="L65" s="55"/>
      <c r="M65" s="5"/>
      <c r="N65" s="5"/>
      <c r="O65" s="5"/>
      <c r="P65" s="5"/>
      <c r="Q65" s="5"/>
      <c r="R65" s="5"/>
      <c r="S65" s="5"/>
      <c r="T65" s="5"/>
      <c r="U65" s="5"/>
      <c r="V65" s="55"/>
      <c r="W65" s="55"/>
      <c r="X65" s="55"/>
      <c r="Y65" s="55"/>
      <c r="Z65" s="55"/>
      <c r="AA65" s="55"/>
      <c r="AB65" s="55"/>
      <c r="AC65" s="55"/>
      <c r="AD65" s="55"/>
      <c r="AE65" s="56"/>
      <c r="AF65" s="56"/>
      <c r="AG65" s="56"/>
      <c r="AH65" s="56"/>
      <c r="AI65" s="56"/>
      <c r="AJ65" s="56"/>
      <c r="AK65" s="56"/>
      <c r="AL65" s="56"/>
    </row>
    <row r="66" spans="1:38" s="44" customFormat="1" ht="15.6" hidden="1" customHeight="1" x14ac:dyDescent="0.25">
      <c r="A66" s="5"/>
      <c r="B66" s="71"/>
      <c r="C66" s="5"/>
      <c r="D66" s="55"/>
      <c r="E66" s="10"/>
      <c r="F66" s="10"/>
      <c r="G66" s="10"/>
      <c r="H66" s="10"/>
      <c r="I66" s="5"/>
      <c r="J66" s="5"/>
      <c r="K66" s="55"/>
      <c r="L66" s="55"/>
      <c r="M66" s="5"/>
      <c r="N66" s="5"/>
      <c r="O66" s="5"/>
      <c r="P66" s="5"/>
      <c r="Q66" s="5"/>
      <c r="R66" s="5"/>
      <c r="S66" s="5"/>
      <c r="T66" s="5"/>
      <c r="U66" s="5"/>
      <c r="V66" s="55"/>
      <c r="W66" s="55"/>
      <c r="X66" s="55"/>
      <c r="Y66" s="55"/>
      <c r="Z66" s="55"/>
      <c r="AA66" s="55"/>
      <c r="AB66" s="55"/>
      <c r="AC66" s="9"/>
      <c r="AD66" s="56"/>
      <c r="AE66" s="56"/>
      <c r="AF66" s="56"/>
      <c r="AG66" s="56"/>
      <c r="AH66" s="56"/>
      <c r="AI66" s="56"/>
      <c r="AJ66" s="56"/>
      <c r="AK66" s="56"/>
      <c r="AL66" s="56"/>
    </row>
    <row r="67" spans="1:38" s="59" customFormat="1" ht="29.25" customHeight="1" x14ac:dyDescent="0.25">
      <c r="A67" s="9"/>
      <c r="B67" s="2"/>
      <c r="C67" s="2" t="s">
        <v>83</v>
      </c>
      <c r="D67" s="2"/>
      <c r="E67" s="2" t="str">
        <f>F10</f>
        <v>G1</v>
      </c>
      <c r="F67" s="2" t="s">
        <v>57</v>
      </c>
      <c r="G67" s="2">
        <f>I8-162</f>
        <v>548</v>
      </c>
      <c r="H67" s="2">
        <f>M4-162</f>
        <v>1113</v>
      </c>
      <c r="I67" s="2">
        <f>1*E11</f>
        <v>1</v>
      </c>
      <c r="J67" s="2" t="s">
        <v>8</v>
      </c>
      <c r="K67" s="2"/>
      <c r="L67" s="10"/>
      <c r="M67" s="10"/>
      <c r="N67" s="10"/>
      <c r="O67" s="5"/>
      <c r="P67" s="9"/>
      <c r="Q67" s="9"/>
      <c r="R67" s="9"/>
      <c r="S67" s="9"/>
      <c r="T67" s="9"/>
      <c r="U67" s="9"/>
      <c r="V67" s="9" t="s">
        <v>19</v>
      </c>
      <c r="W67" s="9" t="str">
        <f>E12</f>
        <v>AJO 26 - 006</v>
      </c>
      <c r="X67" s="9" t="str">
        <f>D15&amp;"-"&amp;E15</f>
        <v>1-A1-W2</v>
      </c>
      <c r="Y67" s="9"/>
      <c r="Z67" s="9" t="str">
        <f>E67</f>
        <v>G1</v>
      </c>
      <c r="AA67" s="9">
        <f>G67</f>
        <v>548</v>
      </c>
      <c r="AB67" s="9">
        <f>H67</f>
        <v>1113</v>
      </c>
      <c r="AC67" s="9">
        <f>I67</f>
        <v>1</v>
      </c>
      <c r="AD67" s="9" t="str">
        <f>J67</f>
        <v>mm</v>
      </c>
      <c r="AE67" s="9">
        <f>L67</f>
        <v>0</v>
      </c>
      <c r="AF67" s="9" t="str">
        <f>E5</f>
        <v>O-25035</v>
      </c>
      <c r="AG67" s="9" t="str">
        <f>E6</f>
        <v>Jad Abi Rizk</v>
      </c>
      <c r="AH67" s="9" t="str">
        <f>C67</f>
        <v>Double Glazing</v>
      </c>
      <c r="AI67" s="9" t="str">
        <f>E10</f>
        <v>32 mm</v>
      </c>
      <c r="AJ67" s="9">
        <f>E14</f>
        <v>1</v>
      </c>
      <c r="AK67" s="9">
        <f>E13</f>
        <v>0</v>
      </c>
      <c r="AL67" s="9" t="s">
        <v>57</v>
      </c>
    </row>
    <row r="69" spans="1:38" s="7" customFormat="1" ht="15.75" x14ac:dyDescent="0.25">
      <c r="A69" s="1" t="s">
        <v>0</v>
      </c>
      <c r="B69" s="1"/>
      <c r="C69" s="2"/>
      <c r="D69" s="3"/>
      <c r="E69" s="3"/>
      <c r="F69" s="3"/>
      <c r="G69" s="4"/>
      <c r="H69" s="4"/>
      <c r="I69" s="4"/>
      <c r="J69" s="4"/>
      <c r="K69" s="4"/>
      <c r="L69" s="4"/>
      <c r="M69" s="5"/>
      <c r="N69" s="5"/>
      <c r="O69" s="5"/>
      <c r="P69" s="5"/>
      <c r="Q69" s="3" t="s">
        <v>1</v>
      </c>
      <c r="R69" s="1" t="s">
        <v>2</v>
      </c>
      <c r="S69" s="3"/>
      <c r="T69" s="4"/>
      <c r="U69" s="4"/>
      <c r="V69" s="4"/>
      <c r="W69" s="4"/>
      <c r="X69" s="4"/>
      <c r="Y69" s="4"/>
      <c r="Z69" s="6"/>
      <c r="AA69" s="6"/>
      <c r="AB69" s="6"/>
      <c r="AC69" s="6"/>
      <c r="AD69" s="6"/>
      <c r="AE69" s="6"/>
      <c r="AF69" s="6"/>
      <c r="AG69" s="6"/>
    </row>
    <row r="70" spans="1:38" s="7" customFormat="1" ht="15.75" x14ac:dyDescent="0.25">
      <c r="A70" s="1"/>
      <c r="B70" s="1"/>
      <c r="C70" s="2"/>
      <c r="D70" s="3"/>
      <c r="E70" s="3"/>
      <c r="F70" s="3"/>
      <c r="G70" s="4"/>
      <c r="H70" s="4"/>
      <c r="I70" s="4"/>
      <c r="J70" s="4"/>
      <c r="K70" s="4"/>
      <c r="L70" s="4"/>
      <c r="M70" s="5"/>
      <c r="N70" s="5"/>
      <c r="O70" s="5"/>
      <c r="P70" s="5"/>
      <c r="Q70" s="8" t="s">
        <v>3</v>
      </c>
      <c r="R70" s="1"/>
      <c r="S70" s="3"/>
      <c r="T70" s="4"/>
      <c r="U70" s="4"/>
      <c r="V70" s="4"/>
      <c r="W70" s="4"/>
      <c r="X70" s="4"/>
      <c r="Y70" s="4"/>
      <c r="Z70" s="6"/>
      <c r="AA70" s="6"/>
      <c r="AB70" s="6"/>
      <c r="AC70" s="6"/>
      <c r="AD70" s="6"/>
      <c r="AE70" s="6"/>
      <c r="AF70" s="6"/>
      <c r="AG70" s="6"/>
    </row>
    <row r="71" spans="1:38" s="7" customFormat="1" ht="15.75" x14ac:dyDescent="0.25">
      <c r="A71" s="3"/>
      <c r="B71" s="3"/>
      <c r="C71" s="9"/>
      <c r="D71" s="3"/>
      <c r="E71" s="3"/>
      <c r="F71" s="3"/>
      <c r="G71" s="4"/>
      <c r="H71" s="4"/>
      <c r="I71" s="4"/>
      <c r="J71" s="3"/>
      <c r="K71" s="3"/>
      <c r="L71" s="8"/>
      <c r="M71" s="5"/>
      <c r="N71" s="5"/>
      <c r="O71" s="10"/>
      <c r="P71" s="10"/>
      <c r="Q71" s="3" t="s">
        <v>4</v>
      </c>
      <c r="R71" s="3">
        <v>1</v>
      </c>
      <c r="S71" s="3"/>
      <c r="T71" s="4"/>
      <c r="U71" s="4"/>
      <c r="V71" s="4"/>
      <c r="W71" s="4"/>
      <c r="X71" s="4"/>
      <c r="Y71" s="4"/>
      <c r="Z71" s="6"/>
      <c r="AA71" s="6"/>
      <c r="AB71" s="6"/>
      <c r="AC71" s="6"/>
      <c r="AD71" s="6"/>
      <c r="AE71" s="6"/>
      <c r="AF71" s="6"/>
      <c r="AG71" s="6"/>
    </row>
    <row r="72" spans="1:38" s="7" customFormat="1" ht="15.75" x14ac:dyDescent="0.25">
      <c r="A72" s="1" t="s">
        <v>5</v>
      </c>
      <c r="B72" s="3"/>
      <c r="C72" s="2" t="s">
        <v>6</v>
      </c>
      <c r="D72" s="11"/>
      <c r="E72" s="1" t="str">
        <f>R69</f>
        <v>Marina Living Larnaca</v>
      </c>
      <c r="F72" s="1"/>
      <c r="H72" s="4"/>
      <c r="I72" s="4"/>
      <c r="J72" s="4"/>
      <c r="K72" s="4"/>
      <c r="L72" s="12" t="s">
        <v>7</v>
      </c>
      <c r="M72" s="5">
        <f>R74</f>
        <v>1263</v>
      </c>
      <c r="N72" s="13" t="s">
        <v>8</v>
      </c>
      <c r="O72" s="10"/>
      <c r="P72" s="10"/>
      <c r="Q72" s="3" t="s">
        <v>9</v>
      </c>
      <c r="R72" s="14" t="s">
        <v>84</v>
      </c>
      <c r="S72" s="14"/>
      <c r="T72" s="4"/>
      <c r="U72" s="4"/>
      <c r="V72" s="4"/>
      <c r="W72" s="4"/>
      <c r="X72" s="4"/>
      <c r="Y72" s="4"/>
      <c r="Z72" s="6"/>
      <c r="AA72" s="6"/>
      <c r="AB72" s="6"/>
      <c r="AC72" s="6"/>
      <c r="AD72" s="6"/>
      <c r="AE72" s="6"/>
      <c r="AF72" s="6"/>
      <c r="AG72" s="6"/>
    </row>
    <row r="73" spans="1:38" s="7" customFormat="1" ht="15.75" x14ac:dyDescent="0.25">
      <c r="A73" s="1" t="s">
        <v>11</v>
      </c>
      <c r="B73" s="3"/>
      <c r="C73" s="2" t="s">
        <v>6</v>
      </c>
      <c r="D73" s="11"/>
      <c r="E73" s="15" t="s">
        <v>12</v>
      </c>
      <c r="F73" s="15"/>
      <c r="H73" s="4"/>
      <c r="I73" s="8"/>
      <c r="J73" s="4"/>
      <c r="K73" s="4"/>
      <c r="L73" s="4"/>
      <c r="M73" s="5"/>
      <c r="N73" s="5"/>
      <c r="O73" s="5"/>
      <c r="P73" s="5"/>
      <c r="Q73" s="3" t="s">
        <v>13</v>
      </c>
      <c r="R73" s="3">
        <v>853</v>
      </c>
      <c r="S73" s="3"/>
      <c r="T73" s="4"/>
      <c r="U73" s="4"/>
      <c r="V73" s="4"/>
      <c r="W73" s="4"/>
      <c r="X73" s="4"/>
      <c r="Y73" s="4"/>
      <c r="Z73" s="6"/>
      <c r="AA73" s="6"/>
      <c r="AB73" s="6"/>
      <c r="AC73" s="6"/>
      <c r="AD73" s="6"/>
      <c r="AE73" s="6"/>
      <c r="AF73" s="6"/>
      <c r="AG73" s="6"/>
    </row>
    <row r="74" spans="1:38" s="7" customFormat="1" ht="15.75" x14ac:dyDescent="0.25">
      <c r="A74" s="15" t="s">
        <v>14</v>
      </c>
      <c r="B74" s="11"/>
      <c r="C74" s="2" t="s">
        <v>6</v>
      </c>
      <c r="D74" s="11"/>
      <c r="E74" s="1" t="s">
        <v>15</v>
      </c>
      <c r="F74" s="1"/>
      <c r="H74" s="4"/>
      <c r="I74" s="4"/>
      <c r="J74" s="4"/>
      <c r="K74" s="4"/>
      <c r="L74" s="16"/>
      <c r="M74" s="9"/>
      <c r="N74" s="9"/>
      <c r="O74" s="9"/>
      <c r="P74" s="9"/>
      <c r="Q74" s="3" t="s">
        <v>7</v>
      </c>
      <c r="R74" s="3">
        <v>1263</v>
      </c>
      <c r="S74" s="3">
        <v>1000</v>
      </c>
      <c r="T74" s="17" t="s">
        <v>16</v>
      </c>
      <c r="U74" s="4"/>
      <c r="V74" s="4"/>
      <c r="W74" s="4"/>
      <c r="X74" s="4"/>
      <c r="Y74" s="4"/>
      <c r="Z74" s="6"/>
      <c r="AA74" s="6"/>
      <c r="AB74" s="6"/>
      <c r="AC74" s="6"/>
      <c r="AD74" s="6"/>
      <c r="AE74" s="6"/>
      <c r="AF74" s="6"/>
      <c r="AG74" s="6"/>
    </row>
    <row r="75" spans="1:38" s="7" customFormat="1" ht="15.75" x14ac:dyDescent="0.25">
      <c r="A75" s="1" t="s">
        <v>17</v>
      </c>
      <c r="B75" s="3"/>
      <c r="C75" s="2" t="s">
        <v>6</v>
      </c>
      <c r="D75" s="11"/>
      <c r="E75" s="1" t="s">
        <v>18</v>
      </c>
      <c r="F75" s="1"/>
      <c r="I75" s="4"/>
      <c r="J75" s="4"/>
      <c r="K75" s="4"/>
      <c r="L75" s="16"/>
      <c r="M75" s="9"/>
      <c r="N75" s="9"/>
      <c r="O75" s="9"/>
      <c r="P75" s="5"/>
      <c r="Q75" s="3" t="s">
        <v>19</v>
      </c>
      <c r="R75" s="3" t="s">
        <v>20</v>
      </c>
      <c r="S75" s="3" t="s">
        <v>21</v>
      </c>
      <c r="T75" s="4"/>
      <c r="U75" s="4"/>
      <c r="V75" s="4"/>
      <c r="W75" s="4"/>
      <c r="X75" s="4"/>
      <c r="Y75" s="4"/>
      <c r="Z75" s="6"/>
      <c r="AA75" s="6"/>
      <c r="AB75" s="6"/>
      <c r="AC75" s="6"/>
      <c r="AD75" s="6"/>
      <c r="AE75" s="6"/>
      <c r="AF75" s="6"/>
      <c r="AG75" s="6"/>
    </row>
    <row r="76" spans="1:38" s="7" customFormat="1" ht="15.75" x14ac:dyDescent="0.25">
      <c r="A76" s="1" t="s">
        <v>22</v>
      </c>
      <c r="B76" s="3"/>
      <c r="C76" s="2" t="s">
        <v>6</v>
      </c>
      <c r="D76" s="11"/>
      <c r="E76" s="1" t="s">
        <v>23</v>
      </c>
      <c r="F76" s="1"/>
      <c r="G76" s="4"/>
      <c r="H76" s="4" t="s">
        <v>13</v>
      </c>
      <c r="I76" s="5">
        <f>R73</f>
        <v>853</v>
      </c>
      <c r="J76" s="8" t="s">
        <v>8</v>
      </c>
      <c r="K76" s="4"/>
      <c r="L76" s="4"/>
      <c r="M76" s="5"/>
      <c r="N76" s="5"/>
      <c r="O76" s="5"/>
      <c r="P76" s="5"/>
      <c r="Q76" s="3" t="s">
        <v>24</v>
      </c>
      <c r="R76" s="3">
        <v>1</v>
      </c>
      <c r="S76" s="3"/>
      <c r="T76" s="4"/>
      <c r="U76" s="4"/>
      <c r="V76" s="4"/>
      <c r="W76" s="4"/>
      <c r="X76" s="4"/>
      <c r="Y76" s="4"/>
      <c r="Z76" s="6"/>
      <c r="AA76" s="6"/>
      <c r="AB76" s="6"/>
      <c r="AC76" s="6"/>
      <c r="AD76" s="6"/>
      <c r="AE76" s="6"/>
      <c r="AF76" s="6"/>
      <c r="AG76" s="6"/>
    </row>
    <row r="77" spans="1:38" s="7" customFormat="1" ht="15.75" x14ac:dyDescent="0.25">
      <c r="A77" s="1" t="s">
        <v>25</v>
      </c>
      <c r="B77" s="3"/>
      <c r="C77" s="2" t="s">
        <v>6</v>
      </c>
      <c r="D77" s="3"/>
      <c r="E77" s="18">
        <f ca="1">TODAY()</f>
        <v>46220</v>
      </c>
      <c r="F77" s="18"/>
      <c r="G77" s="4"/>
      <c r="H77" s="4"/>
      <c r="I77" s="3"/>
      <c r="J77" s="3"/>
      <c r="K77" s="3"/>
      <c r="L77" s="16" t="s">
        <v>26</v>
      </c>
      <c r="M77" s="9">
        <f>S74</f>
        <v>1000</v>
      </c>
      <c r="N77" s="19" t="s">
        <v>8</v>
      </c>
      <c r="O77" s="9"/>
      <c r="P77" s="5"/>
      <c r="Q77" s="3" t="s">
        <v>27</v>
      </c>
      <c r="R77" s="3">
        <v>1</v>
      </c>
      <c r="S77" s="3"/>
      <c r="T77" s="4"/>
      <c r="U77" s="4"/>
      <c r="V77" s="4"/>
      <c r="W77" s="4"/>
      <c r="X77" s="4"/>
      <c r="Y77" s="6"/>
      <c r="Z77" s="6"/>
      <c r="AA77" s="6"/>
      <c r="AB77" s="6"/>
      <c r="AC77" s="6"/>
      <c r="AD77" s="6"/>
      <c r="AE77" s="6"/>
      <c r="AF77" s="6"/>
      <c r="AG77" s="6"/>
    </row>
    <row r="78" spans="1:38" s="7" customFormat="1" ht="15.75" x14ac:dyDescent="0.25">
      <c r="A78" s="1" t="s">
        <v>19</v>
      </c>
      <c r="B78" s="3"/>
      <c r="C78" s="2" t="s">
        <v>6</v>
      </c>
      <c r="D78" s="11"/>
      <c r="E78" s="15" t="str">
        <f>R75</f>
        <v>32 mm</v>
      </c>
      <c r="F78" s="15" t="str">
        <f>S75</f>
        <v>G1</v>
      </c>
      <c r="G78" s="4"/>
      <c r="H78" s="4"/>
      <c r="I78" s="4"/>
      <c r="J78" s="20"/>
      <c r="K78" s="21"/>
      <c r="L78" s="16" t="s">
        <v>28</v>
      </c>
      <c r="M78" s="9">
        <f>IF(1500-M77&lt;300,300,1500-M77)</f>
        <v>500</v>
      </c>
      <c r="N78" s="19" t="s">
        <v>8</v>
      </c>
      <c r="O78" s="22"/>
      <c r="P78" s="5"/>
      <c r="Q78" s="3"/>
      <c r="R78" s="3"/>
      <c r="S78" s="3"/>
      <c r="T78" s="4"/>
      <c r="U78" s="4"/>
      <c r="V78" s="4"/>
      <c r="W78" s="4"/>
      <c r="X78" s="4"/>
      <c r="Y78" s="6"/>
      <c r="Z78" s="6"/>
      <c r="AA78" s="6"/>
      <c r="AB78" s="6"/>
      <c r="AC78" s="6"/>
      <c r="AD78" s="6"/>
      <c r="AE78" s="6"/>
      <c r="AF78" s="6"/>
      <c r="AG78" s="6"/>
    </row>
    <row r="79" spans="1:38" s="7" customFormat="1" ht="15.75" x14ac:dyDescent="0.25">
      <c r="A79" s="1" t="s">
        <v>27</v>
      </c>
      <c r="B79" s="3"/>
      <c r="C79" s="2" t="s">
        <v>6</v>
      </c>
      <c r="D79" s="11"/>
      <c r="E79" s="15">
        <f>R77</f>
        <v>1</v>
      </c>
      <c r="F79" s="15"/>
      <c r="G79" s="4"/>
      <c r="H79" s="4"/>
      <c r="I79" s="3"/>
      <c r="J79" s="3"/>
      <c r="K79" s="3"/>
      <c r="L79" s="3"/>
      <c r="M79" s="5"/>
      <c r="N79" s="5"/>
      <c r="O79" s="5"/>
      <c r="P79" s="5"/>
      <c r="Q79" s="4"/>
      <c r="R79" s="4"/>
      <c r="S79" s="4"/>
      <c r="T79" s="4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8" s="7" customFormat="1" ht="15.75" x14ac:dyDescent="0.25">
      <c r="A80" s="1" t="s">
        <v>29</v>
      </c>
      <c r="B80" s="3"/>
      <c r="C80" s="2" t="s">
        <v>6</v>
      </c>
      <c r="D80" s="3"/>
      <c r="E80" s="1" t="s">
        <v>30</v>
      </c>
      <c r="F80" s="23"/>
      <c r="G80" s="4"/>
      <c r="H80" s="4"/>
      <c r="I80" s="3"/>
      <c r="J80" s="3"/>
      <c r="K80" s="3"/>
      <c r="L80" s="3"/>
      <c r="M80" s="5"/>
      <c r="N80" s="5"/>
      <c r="O80" s="5"/>
      <c r="P80" s="5"/>
      <c r="Q80" s="4"/>
      <c r="R80" s="4"/>
      <c r="S80" s="4"/>
      <c r="T80" s="4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8" s="7" customFormat="1" ht="15.75" x14ac:dyDescent="0.25">
      <c r="A81" s="1" t="s">
        <v>3</v>
      </c>
      <c r="B81" s="3"/>
      <c r="C81" s="2" t="s">
        <v>6</v>
      </c>
      <c r="D81" s="3"/>
      <c r="E81" s="1">
        <f>R70</f>
        <v>0</v>
      </c>
      <c r="F81" s="23"/>
      <c r="G81" s="24"/>
      <c r="H81" s="4"/>
      <c r="I81" s="4"/>
      <c r="J81" s="4"/>
      <c r="K81" s="4"/>
      <c r="L81" s="4"/>
      <c r="M81" s="5"/>
      <c r="N81" s="5"/>
      <c r="O81" s="5"/>
      <c r="P81" s="5"/>
      <c r="Q81" s="4"/>
      <c r="R81" s="4"/>
      <c r="S81" s="4"/>
      <c r="T81" s="4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8" s="7" customFormat="1" ht="15.75" x14ac:dyDescent="0.25">
      <c r="A82" s="25" t="s">
        <v>31</v>
      </c>
      <c r="B82" s="3"/>
      <c r="C82" s="2" t="s">
        <v>6</v>
      </c>
      <c r="D82" s="3"/>
      <c r="E82" s="15">
        <f>R71</f>
        <v>1</v>
      </c>
      <c r="F82" s="15"/>
      <c r="G82" s="4"/>
      <c r="H82" s="4"/>
      <c r="I82" s="4"/>
      <c r="J82" s="4"/>
      <c r="K82" s="4"/>
      <c r="L82" s="4"/>
      <c r="M82" s="5"/>
      <c r="N82" s="5"/>
      <c r="O82" s="5"/>
      <c r="P82" s="5"/>
      <c r="Q82" s="4"/>
      <c r="R82" s="4"/>
      <c r="S82" s="4"/>
      <c r="T82" s="4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8" s="7" customFormat="1" ht="15.75" x14ac:dyDescent="0.25">
      <c r="A83" s="25" t="s">
        <v>32</v>
      </c>
      <c r="B83" s="26"/>
      <c r="C83" s="2" t="s">
        <v>6</v>
      </c>
      <c r="D83" s="1">
        <f>R71</f>
        <v>1</v>
      </c>
      <c r="E83" s="15" t="str">
        <f>R72</f>
        <v>A2-W3</v>
      </c>
      <c r="F83" s="15"/>
      <c r="G83" s="4"/>
      <c r="H83" s="4"/>
      <c r="I83" s="4"/>
      <c r="J83" s="4"/>
      <c r="K83" s="4"/>
      <c r="L83" s="4"/>
      <c r="M83" s="5"/>
      <c r="N83" s="5"/>
      <c r="O83" s="5"/>
      <c r="P83" s="5"/>
      <c r="Q83" s="4"/>
      <c r="R83" s="4"/>
      <c r="S83" s="4"/>
      <c r="T83" s="4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8" s="7" customFormat="1" ht="16.5" thickBot="1" x14ac:dyDescent="0.3">
      <c r="A84" s="27"/>
      <c r="B84" s="28"/>
      <c r="C84" s="10"/>
      <c r="D84" s="4"/>
      <c r="E84" s="24"/>
      <c r="F84" s="4"/>
      <c r="G84" s="4"/>
      <c r="H84" s="4"/>
      <c r="I84" s="4"/>
      <c r="J84" s="4"/>
      <c r="K84" s="4"/>
      <c r="L84" s="4"/>
      <c r="M84" s="5"/>
      <c r="N84" s="5"/>
      <c r="O84" s="5"/>
      <c r="P84" s="5"/>
      <c r="Q84" s="4"/>
      <c r="R84" s="4"/>
      <c r="S84" s="4"/>
      <c r="T84" s="4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8" s="7" customFormat="1" ht="29.1" customHeight="1" thickBot="1" x14ac:dyDescent="0.25">
      <c r="A85" s="29" t="s">
        <v>33</v>
      </c>
      <c r="B85" s="30"/>
      <c r="C85" s="31" t="s">
        <v>34</v>
      </c>
      <c r="D85" s="32"/>
      <c r="E85" s="29" t="s">
        <v>35</v>
      </c>
      <c r="F85" s="29" t="s">
        <v>36</v>
      </c>
      <c r="G85" s="29" t="s">
        <v>37</v>
      </c>
      <c r="H85" s="29" t="s">
        <v>38</v>
      </c>
      <c r="I85" s="29" t="s">
        <v>27</v>
      </c>
      <c r="J85" s="29" t="s">
        <v>39</v>
      </c>
      <c r="K85" s="33" t="s">
        <v>40</v>
      </c>
      <c r="L85" s="33"/>
      <c r="M85" s="31" t="s">
        <v>41</v>
      </c>
      <c r="N85" s="34"/>
      <c r="O85" s="5"/>
      <c r="P85" s="5"/>
      <c r="Q85" s="5"/>
      <c r="R85" s="5"/>
      <c r="S85" s="5"/>
      <c r="T85" s="5"/>
      <c r="U85" s="5"/>
      <c r="V85" s="3"/>
      <c r="W85" s="3"/>
      <c r="X85" s="3"/>
      <c r="Y85" s="3"/>
      <c r="Z85" s="3"/>
      <c r="AA85" s="3"/>
      <c r="AB85" s="3"/>
      <c r="AC85" s="35"/>
      <c r="AD85" s="3"/>
      <c r="AE85" s="3"/>
      <c r="AF85" s="3"/>
      <c r="AG85" s="3"/>
      <c r="AH85" s="3"/>
      <c r="AI85" s="3"/>
      <c r="AJ85" s="3"/>
      <c r="AK85" s="3"/>
      <c r="AL85" s="3"/>
    </row>
    <row r="86" spans="1:38" s="44" customFormat="1" ht="29.25" customHeight="1" x14ac:dyDescent="0.25">
      <c r="A86" s="36">
        <v>1</v>
      </c>
      <c r="B86" s="37"/>
      <c r="C86" s="37" t="str">
        <f>E76</f>
        <v>TECHNAL FXI</v>
      </c>
      <c r="D86" s="38"/>
      <c r="E86" s="36" t="s">
        <v>52</v>
      </c>
      <c r="F86" s="39" t="str">
        <f>E75</f>
        <v>E5 Clair</v>
      </c>
      <c r="G86" s="40">
        <f>I76</f>
        <v>853</v>
      </c>
      <c r="H86" s="36"/>
      <c r="I86" s="36">
        <f>2*E79</f>
        <v>2</v>
      </c>
      <c r="J86" s="41" t="s">
        <v>8</v>
      </c>
      <c r="K86" s="42"/>
      <c r="L86" s="43" t="s">
        <v>53</v>
      </c>
      <c r="M86" s="41"/>
      <c r="N86" s="37"/>
      <c r="O86" s="5"/>
      <c r="P86" s="5"/>
      <c r="Q86" s="5"/>
      <c r="R86" s="5"/>
      <c r="S86" s="5"/>
      <c r="T86" s="5"/>
      <c r="U86" s="5"/>
      <c r="V86" s="9" t="s">
        <v>54</v>
      </c>
      <c r="W86" s="9" t="str">
        <f>E80</f>
        <v>AJO 26 - 006</v>
      </c>
      <c r="X86" s="9" t="str">
        <f>D83&amp;"-"&amp;E83</f>
        <v>1-A2-W3</v>
      </c>
      <c r="Y86" s="9" t="str">
        <f t="shared" ref="Y86:AD103" si="6">E86</f>
        <v>HF008</v>
      </c>
      <c r="Z86" s="9" t="str">
        <f t="shared" si="6"/>
        <v>E5 Clair</v>
      </c>
      <c r="AA86" s="9">
        <f t="shared" si="6"/>
        <v>853</v>
      </c>
      <c r="AB86" s="9">
        <f t="shared" si="6"/>
        <v>0</v>
      </c>
      <c r="AC86" s="9">
        <f t="shared" si="6"/>
        <v>2</v>
      </c>
      <c r="AD86" s="9" t="str">
        <f t="shared" si="6"/>
        <v>mm</v>
      </c>
      <c r="AE86" s="9" t="str">
        <f t="shared" ref="AE86:AE103" si="7">L86</f>
        <v>-45.0/ 45.0</v>
      </c>
      <c r="AF86" s="9" t="str">
        <f>E73</f>
        <v>O-25035</v>
      </c>
      <c r="AG86" s="9" t="str">
        <f>E74</f>
        <v>Jad Abi Rizk</v>
      </c>
      <c r="AH86" s="9" t="str">
        <f t="shared" ref="AH86:AH103" si="8">C86</f>
        <v>TECHNAL FXI</v>
      </c>
      <c r="AI86" s="9" t="str">
        <f>E78</f>
        <v>32 mm</v>
      </c>
      <c r="AJ86" s="9">
        <f>E82</f>
        <v>1</v>
      </c>
      <c r="AK86" s="9">
        <f>E81</f>
        <v>0</v>
      </c>
      <c r="AL86" s="9">
        <f>M78</f>
        <v>500</v>
      </c>
    </row>
    <row r="87" spans="1:38" s="44" customFormat="1" ht="29.25" customHeight="1" x14ac:dyDescent="0.25">
      <c r="A87" s="36">
        <v>2</v>
      </c>
      <c r="B87" s="37"/>
      <c r="C87" s="37" t="str">
        <f>E76</f>
        <v>TECHNAL FXI</v>
      </c>
      <c r="D87" s="38"/>
      <c r="E87" s="36" t="s">
        <v>52</v>
      </c>
      <c r="F87" s="39" t="str">
        <f>E75</f>
        <v>E5 Clair</v>
      </c>
      <c r="G87" s="40">
        <f>M72</f>
        <v>1263</v>
      </c>
      <c r="H87" s="36"/>
      <c r="I87" s="36">
        <f>2*E79</f>
        <v>2</v>
      </c>
      <c r="J87" s="41" t="s">
        <v>8</v>
      </c>
      <c r="K87" s="42"/>
      <c r="L87" s="43" t="s">
        <v>53</v>
      </c>
      <c r="M87" s="41"/>
      <c r="N87" s="37"/>
      <c r="O87" s="5"/>
      <c r="P87" s="5"/>
      <c r="Q87" s="5"/>
      <c r="R87" s="5"/>
      <c r="S87" s="5"/>
      <c r="T87" s="5"/>
      <c r="U87" s="5"/>
      <c r="V87" s="9" t="s">
        <v>54</v>
      </c>
      <c r="W87" s="9" t="str">
        <f>E80</f>
        <v>AJO 26 - 006</v>
      </c>
      <c r="X87" s="9" t="str">
        <f>D83&amp;"-"&amp;E83</f>
        <v>1-A2-W3</v>
      </c>
      <c r="Y87" s="9" t="str">
        <f t="shared" si="6"/>
        <v>HF008</v>
      </c>
      <c r="Z87" s="9" t="str">
        <f t="shared" si="6"/>
        <v>E5 Clair</v>
      </c>
      <c r="AA87" s="9">
        <f t="shared" si="6"/>
        <v>1263</v>
      </c>
      <c r="AB87" s="9">
        <f t="shared" si="6"/>
        <v>0</v>
      </c>
      <c r="AC87" s="9">
        <f t="shared" si="6"/>
        <v>2</v>
      </c>
      <c r="AD87" s="9" t="str">
        <f t="shared" si="6"/>
        <v>mm</v>
      </c>
      <c r="AE87" s="9" t="str">
        <f t="shared" si="7"/>
        <v>-45.0/ 45.0</v>
      </c>
      <c r="AF87" s="9" t="str">
        <f>E73</f>
        <v>O-25035</v>
      </c>
      <c r="AG87" s="9" t="str">
        <f>E74</f>
        <v>Jad Abi Rizk</v>
      </c>
      <c r="AH87" s="9" t="str">
        <f t="shared" si="8"/>
        <v>TECHNAL FXI</v>
      </c>
      <c r="AI87" s="9" t="str">
        <f>E78</f>
        <v>32 mm</v>
      </c>
      <c r="AJ87" s="9">
        <f>E82</f>
        <v>1</v>
      </c>
      <c r="AK87" s="9">
        <f>E81</f>
        <v>0</v>
      </c>
      <c r="AL87" s="9">
        <f>M78</f>
        <v>500</v>
      </c>
    </row>
    <row r="88" spans="1:38" s="44" customFormat="1" ht="29.25" customHeight="1" x14ac:dyDescent="0.25">
      <c r="A88" s="36">
        <v>3</v>
      </c>
      <c r="B88" s="37"/>
      <c r="C88" s="37" t="str">
        <f>E76</f>
        <v>TECHNAL FXI</v>
      </c>
      <c r="D88" s="38"/>
      <c r="E88" s="36" t="s">
        <v>55</v>
      </c>
      <c r="F88" s="39" t="str">
        <f>E75</f>
        <v>E5 Clair</v>
      </c>
      <c r="G88" s="40">
        <f>I76-54</f>
        <v>799</v>
      </c>
      <c r="H88" s="36"/>
      <c r="I88" s="36">
        <f>2*E79</f>
        <v>2</v>
      </c>
      <c r="J88" s="41" t="s">
        <v>8</v>
      </c>
      <c r="K88" s="42"/>
      <c r="L88" s="43" t="s">
        <v>53</v>
      </c>
      <c r="M88" s="41"/>
      <c r="N88" s="37"/>
      <c r="O88" s="5"/>
      <c r="P88" s="5"/>
      <c r="Q88" s="5"/>
      <c r="R88" s="5"/>
      <c r="S88" s="5"/>
      <c r="T88" s="5"/>
      <c r="U88" s="5"/>
      <c r="V88" s="9" t="s">
        <v>54</v>
      </c>
      <c r="W88" s="9" t="str">
        <f>E80</f>
        <v>AJO 26 - 006</v>
      </c>
      <c r="X88" s="9" t="str">
        <f>D83&amp;"-"&amp;E83</f>
        <v>1-A2-W3</v>
      </c>
      <c r="Y88" s="9" t="str">
        <f t="shared" si="6"/>
        <v>HF001</v>
      </c>
      <c r="Z88" s="9" t="str">
        <f t="shared" si="6"/>
        <v>E5 Clair</v>
      </c>
      <c r="AA88" s="9">
        <f t="shared" si="6"/>
        <v>799</v>
      </c>
      <c r="AB88" s="9">
        <f t="shared" si="6"/>
        <v>0</v>
      </c>
      <c r="AC88" s="9">
        <f t="shared" si="6"/>
        <v>2</v>
      </c>
      <c r="AD88" s="9" t="str">
        <f t="shared" si="6"/>
        <v>mm</v>
      </c>
      <c r="AE88" s="9" t="str">
        <f t="shared" si="7"/>
        <v>-45.0/ 45.0</v>
      </c>
      <c r="AF88" s="9" t="str">
        <f>E73</f>
        <v>O-25035</v>
      </c>
      <c r="AG88" s="9" t="str">
        <f>E74</f>
        <v>Jad Abi Rizk</v>
      </c>
      <c r="AH88" s="9" t="str">
        <f t="shared" si="8"/>
        <v>TECHNAL FXI</v>
      </c>
      <c r="AI88" s="9" t="str">
        <f>E78</f>
        <v>32 mm</v>
      </c>
      <c r="AJ88" s="9">
        <f>E82</f>
        <v>1</v>
      </c>
      <c r="AK88" s="9">
        <f>E81</f>
        <v>0</v>
      </c>
      <c r="AL88" s="9">
        <f>M78</f>
        <v>500</v>
      </c>
    </row>
    <row r="89" spans="1:38" s="44" customFormat="1" ht="29.25" customHeight="1" x14ac:dyDescent="0.25">
      <c r="A89" s="36">
        <v>4</v>
      </c>
      <c r="B89" s="37"/>
      <c r="C89" s="37" t="str">
        <f>E76</f>
        <v>TECHNAL FXI</v>
      </c>
      <c r="D89" s="38"/>
      <c r="E89" s="36" t="s">
        <v>55</v>
      </c>
      <c r="F89" s="39" t="str">
        <f>E75</f>
        <v>E5 Clair</v>
      </c>
      <c r="G89" s="40">
        <f>M72-54</f>
        <v>1209</v>
      </c>
      <c r="H89" s="36"/>
      <c r="I89" s="36">
        <f>2*E79</f>
        <v>2</v>
      </c>
      <c r="J89" s="41" t="s">
        <v>8</v>
      </c>
      <c r="K89" s="42"/>
      <c r="L89" s="43" t="s">
        <v>53</v>
      </c>
      <c r="M89" s="41"/>
      <c r="N89" s="37"/>
      <c r="O89" s="5"/>
      <c r="P89" s="5"/>
      <c r="Q89" s="5"/>
      <c r="R89" s="5"/>
      <c r="S89" s="5"/>
      <c r="T89" s="5"/>
      <c r="U89" s="5"/>
      <c r="V89" s="9" t="s">
        <v>54</v>
      </c>
      <c r="W89" s="9" t="str">
        <f>E80</f>
        <v>AJO 26 - 006</v>
      </c>
      <c r="X89" s="9" t="str">
        <f>D83&amp;"-"&amp;E83</f>
        <v>1-A2-W3</v>
      </c>
      <c r="Y89" s="9" t="str">
        <f t="shared" si="6"/>
        <v>HF001</v>
      </c>
      <c r="Z89" s="9" t="str">
        <f t="shared" si="6"/>
        <v>E5 Clair</v>
      </c>
      <c r="AA89" s="9">
        <f t="shared" si="6"/>
        <v>1209</v>
      </c>
      <c r="AB89" s="9">
        <f t="shared" si="6"/>
        <v>0</v>
      </c>
      <c r="AC89" s="9">
        <f t="shared" si="6"/>
        <v>2</v>
      </c>
      <c r="AD89" s="9" t="str">
        <f t="shared" si="6"/>
        <v>mm</v>
      </c>
      <c r="AE89" s="9" t="str">
        <f t="shared" si="7"/>
        <v>-45.0/ 45.0</v>
      </c>
      <c r="AF89" s="9" t="str">
        <f>E73</f>
        <v>O-25035</v>
      </c>
      <c r="AG89" s="9" t="str">
        <f>E74</f>
        <v>Jad Abi Rizk</v>
      </c>
      <c r="AH89" s="9" t="str">
        <f t="shared" si="8"/>
        <v>TECHNAL FXI</v>
      </c>
      <c r="AI89" s="9" t="str">
        <f>E78</f>
        <v>32 mm</v>
      </c>
      <c r="AJ89" s="9">
        <f>E82</f>
        <v>1</v>
      </c>
      <c r="AK89" s="9">
        <f>E81</f>
        <v>0</v>
      </c>
      <c r="AL89" s="9">
        <f>M78</f>
        <v>500</v>
      </c>
    </row>
    <row r="90" spans="1:38" s="44" customFormat="1" ht="29.25" customHeight="1" x14ac:dyDescent="0.25">
      <c r="A90" s="36">
        <v>5</v>
      </c>
      <c r="B90" s="37"/>
      <c r="C90" s="37" t="str">
        <f>E76</f>
        <v>TECHNAL FXI</v>
      </c>
      <c r="D90" s="38"/>
      <c r="E90" s="36">
        <v>8402</v>
      </c>
      <c r="F90" s="39" t="str">
        <f>E75</f>
        <v>E5 Clair</v>
      </c>
      <c r="G90" s="40">
        <f>I76+41</f>
        <v>894</v>
      </c>
      <c r="H90" s="36"/>
      <c r="I90" s="36">
        <f>1*E79</f>
        <v>1</v>
      </c>
      <c r="J90" s="41" t="s">
        <v>8</v>
      </c>
      <c r="K90" s="42"/>
      <c r="L90" s="43" t="s">
        <v>85</v>
      </c>
      <c r="M90" s="37"/>
      <c r="N90" s="45"/>
      <c r="O90" s="5"/>
      <c r="P90" s="5"/>
      <c r="Q90" s="5"/>
      <c r="R90" s="5"/>
      <c r="S90" s="5"/>
      <c r="T90" s="5"/>
      <c r="U90" s="5"/>
      <c r="V90" s="9" t="s">
        <v>54</v>
      </c>
      <c r="W90" s="9" t="str">
        <f>E80</f>
        <v>AJO 26 - 006</v>
      </c>
      <c r="X90" s="9" t="str">
        <f>D83&amp;"-"&amp;E83</f>
        <v>1-A2-W3</v>
      </c>
      <c r="Y90" s="9">
        <f t="shared" si="6"/>
        <v>8402</v>
      </c>
      <c r="Z90" s="9" t="str">
        <f t="shared" si="6"/>
        <v>E5 Clair</v>
      </c>
      <c r="AA90" s="9">
        <f t="shared" si="6"/>
        <v>894</v>
      </c>
      <c r="AB90" s="9">
        <f t="shared" si="6"/>
        <v>0</v>
      </c>
      <c r="AC90" s="9">
        <f t="shared" si="6"/>
        <v>1</v>
      </c>
      <c r="AD90" s="9" t="str">
        <f t="shared" si="6"/>
        <v>mm</v>
      </c>
      <c r="AE90" s="9" t="str">
        <f t="shared" si="7"/>
        <v>-45.0/ 0.0</v>
      </c>
      <c r="AF90" s="9" t="str">
        <f>E73</f>
        <v>O-25035</v>
      </c>
      <c r="AG90" s="9" t="str">
        <f>E74</f>
        <v>Jad Abi Rizk</v>
      </c>
      <c r="AH90" s="9" t="str">
        <f t="shared" si="8"/>
        <v>TECHNAL FXI</v>
      </c>
      <c r="AI90" s="9" t="str">
        <f>E78</f>
        <v>32 mm</v>
      </c>
      <c r="AJ90" s="9">
        <f>E82</f>
        <v>1</v>
      </c>
      <c r="AK90" s="9">
        <f>E81</f>
        <v>0</v>
      </c>
      <c r="AL90" s="9" t="s">
        <v>57</v>
      </c>
    </row>
    <row r="91" spans="1:38" s="44" customFormat="1" ht="29.25" customHeight="1" x14ac:dyDescent="0.25">
      <c r="A91" s="36">
        <v>6</v>
      </c>
      <c r="B91" s="37"/>
      <c r="C91" s="37" t="str">
        <f>E76</f>
        <v>TECHNAL FXI</v>
      </c>
      <c r="D91" s="38"/>
      <c r="E91" s="36">
        <v>8402</v>
      </c>
      <c r="F91" s="39" t="str">
        <f>E75</f>
        <v>E5 Clair</v>
      </c>
      <c r="G91" s="40">
        <f>I76+41</f>
        <v>894</v>
      </c>
      <c r="H91" s="36"/>
      <c r="I91" s="36">
        <f>1*E79</f>
        <v>1</v>
      </c>
      <c r="J91" s="41" t="s">
        <v>8</v>
      </c>
      <c r="K91" s="42"/>
      <c r="L91" s="43" t="s">
        <v>86</v>
      </c>
      <c r="M91" s="46"/>
      <c r="N91" s="13"/>
      <c r="O91" s="5"/>
      <c r="P91" s="5"/>
      <c r="Q91" s="5"/>
      <c r="R91" s="5"/>
      <c r="S91" s="5"/>
      <c r="T91" s="5"/>
      <c r="U91" s="5"/>
      <c r="V91" s="9" t="s">
        <v>54</v>
      </c>
      <c r="W91" s="9" t="str">
        <f>E80</f>
        <v>AJO 26 - 006</v>
      </c>
      <c r="X91" s="9" t="str">
        <f>D83&amp;"-"&amp;E83</f>
        <v>1-A2-W3</v>
      </c>
      <c r="Y91" s="9">
        <f t="shared" si="6"/>
        <v>8402</v>
      </c>
      <c r="Z91" s="9" t="str">
        <f t="shared" si="6"/>
        <v>E5 Clair</v>
      </c>
      <c r="AA91" s="9">
        <f t="shared" si="6"/>
        <v>894</v>
      </c>
      <c r="AB91" s="9">
        <f t="shared" si="6"/>
        <v>0</v>
      </c>
      <c r="AC91" s="9">
        <f t="shared" si="6"/>
        <v>1</v>
      </c>
      <c r="AD91" s="9" t="str">
        <f t="shared" si="6"/>
        <v>mm</v>
      </c>
      <c r="AE91" s="9" t="str">
        <f t="shared" si="7"/>
        <v>0.0/ 45.0</v>
      </c>
      <c r="AF91" s="9" t="str">
        <f>E73</f>
        <v>O-25035</v>
      </c>
      <c r="AG91" s="9" t="str">
        <f>E74</f>
        <v>Jad Abi Rizk</v>
      </c>
      <c r="AH91" s="9" t="str">
        <f t="shared" si="8"/>
        <v>TECHNAL FXI</v>
      </c>
      <c r="AI91" s="9" t="str">
        <f>E78</f>
        <v>32 mm</v>
      </c>
      <c r="AJ91" s="9">
        <f>E82</f>
        <v>1</v>
      </c>
      <c r="AK91" s="9">
        <f>E81</f>
        <v>0</v>
      </c>
      <c r="AL91" s="9" t="s">
        <v>57</v>
      </c>
    </row>
    <row r="92" spans="1:38" s="44" customFormat="1" ht="29.25" customHeight="1" x14ac:dyDescent="0.25">
      <c r="A92" s="36">
        <v>7</v>
      </c>
      <c r="B92" s="37"/>
      <c r="C92" s="47" t="str">
        <f>E76</f>
        <v>TECHNAL FXI</v>
      </c>
      <c r="D92" s="48"/>
      <c r="E92" s="36">
        <v>8402</v>
      </c>
      <c r="F92" s="39" t="str">
        <f>E75</f>
        <v>E5 Clair</v>
      </c>
      <c r="G92" s="40">
        <f>M72+82</f>
        <v>1345</v>
      </c>
      <c r="H92" s="49"/>
      <c r="I92" s="36">
        <f>1*E79</f>
        <v>1</v>
      </c>
      <c r="J92" s="50" t="s">
        <v>8</v>
      </c>
      <c r="K92" s="42"/>
      <c r="L92" s="43" t="s">
        <v>53</v>
      </c>
      <c r="M92" s="41" t="s">
        <v>45</v>
      </c>
      <c r="N92" s="37"/>
      <c r="O92" s="5"/>
      <c r="P92" s="5"/>
      <c r="Q92" s="5"/>
      <c r="R92" s="5"/>
      <c r="S92" s="5"/>
      <c r="T92" s="5"/>
      <c r="U92" s="5"/>
      <c r="V92" s="9" t="s">
        <v>54</v>
      </c>
      <c r="W92" s="9" t="str">
        <f>E80</f>
        <v>AJO 26 - 006</v>
      </c>
      <c r="X92" s="9" t="str">
        <f>D83&amp;"-"&amp;E83</f>
        <v>1-A2-W3</v>
      </c>
      <c r="Y92" s="9">
        <f t="shared" si="6"/>
        <v>8402</v>
      </c>
      <c r="Z92" s="9" t="str">
        <f t="shared" si="6"/>
        <v>E5 Clair</v>
      </c>
      <c r="AA92" s="9">
        <f t="shared" si="6"/>
        <v>1345</v>
      </c>
      <c r="AB92" s="9">
        <f t="shared" si="6"/>
        <v>0</v>
      </c>
      <c r="AC92" s="9">
        <f t="shared" si="6"/>
        <v>1</v>
      </c>
      <c r="AD92" s="9" t="str">
        <f t="shared" si="6"/>
        <v>mm</v>
      </c>
      <c r="AE92" s="9" t="str">
        <f t="shared" si="7"/>
        <v>-45.0/ 45.0</v>
      </c>
      <c r="AF92" s="9" t="str">
        <f>E73</f>
        <v>O-25035</v>
      </c>
      <c r="AG92" s="9" t="str">
        <f>E74</f>
        <v>Jad Abi Rizk</v>
      </c>
      <c r="AH92" s="9" t="str">
        <f t="shared" si="8"/>
        <v>TECHNAL FXI</v>
      </c>
      <c r="AI92" s="9" t="str">
        <f>E78</f>
        <v>32 mm</v>
      </c>
      <c r="AJ92" s="9">
        <f>E82</f>
        <v>1</v>
      </c>
      <c r="AK92" s="9">
        <f>E81</f>
        <v>0</v>
      </c>
      <c r="AL92" s="9" t="s">
        <v>57</v>
      </c>
    </row>
    <row r="93" spans="1:38" s="44" customFormat="1" ht="29.25" customHeight="1" x14ac:dyDescent="0.25">
      <c r="A93" s="36">
        <v>8</v>
      </c>
      <c r="B93" s="37"/>
      <c r="C93" s="47" t="str">
        <f>E76</f>
        <v>TECHNAL FXI</v>
      </c>
      <c r="D93" s="48"/>
      <c r="E93" s="36">
        <v>8402</v>
      </c>
      <c r="F93" s="39" t="str">
        <f>E75</f>
        <v>E5 Clair</v>
      </c>
      <c r="G93" s="49">
        <f>M72+82</f>
        <v>1345</v>
      </c>
      <c r="H93" s="49"/>
      <c r="I93" s="36">
        <f>0*E79</f>
        <v>0</v>
      </c>
      <c r="J93" s="50" t="s">
        <v>8</v>
      </c>
      <c r="K93" s="42"/>
      <c r="L93" s="43" t="s">
        <v>53</v>
      </c>
      <c r="M93" s="41"/>
      <c r="N93" s="37"/>
      <c r="O93" s="5"/>
      <c r="P93" s="5"/>
      <c r="Q93" s="5"/>
      <c r="R93" s="5"/>
      <c r="S93" s="5"/>
      <c r="T93" s="5"/>
      <c r="U93" s="5"/>
      <c r="V93" s="9" t="s">
        <v>54</v>
      </c>
      <c r="W93" s="9" t="str">
        <f>E80</f>
        <v>AJO 26 - 006</v>
      </c>
      <c r="X93" s="9" t="str">
        <f>D83&amp;"-"&amp;E83</f>
        <v>1-A2-W3</v>
      </c>
      <c r="Y93" s="9">
        <f t="shared" si="6"/>
        <v>8402</v>
      </c>
      <c r="Z93" s="9" t="str">
        <f t="shared" si="6"/>
        <v>E5 Clair</v>
      </c>
      <c r="AA93" s="9">
        <f t="shared" si="6"/>
        <v>1345</v>
      </c>
      <c r="AB93" s="9">
        <f t="shared" si="6"/>
        <v>0</v>
      </c>
      <c r="AC93" s="9">
        <f t="shared" si="6"/>
        <v>0</v>
      </c>
      <c r="AD93" s="9" t="str">
        <f t="shared" si="6"/>
        <v>mm</v>
      </c>
      <c r="AE93" s="9" t="str">
        <f t="shared" si="7"/>
        <v>-45.0/ 45.0</v>
      </c>
      <c r="AF93" s="9" t="str">
        <f>E73</f>
        <v>O-25035</v>
      </c>
      <c r="AG93" s="9" t="str">
        <f>E74</f>
        <v>Jad Abi Rizk</v>
      </c>
      <c r="AH93" s="9" t="str">
        <f t="shared" si="8"/>
        <v>TECHNAL FXI</v>
      </c>
      <c r="AI93" s="9" t="str">
        <f>E78</f>
        <v>32 mm</v>
      </c>
      <c r="AJ93" s="9">
        <f>E82</f>
        <v>1</v>
      </c>
      <c r="AK93" s="9">
        <f>E81</f>
        <v>0</v>
      </c>
      <c r="AL93" s="9" t="s">
        <v>57</v>
      </c>
    </row>
    <row r="94" spans="1:38" s="44" customFormat="1" ht="29.25" customHeight="1" x14ac:dyDescent="0.25">
      <c r="A94" s="36">
        <v>9</v>
      </c>
      <c r="B94" s="37"/>
      <c r="C94" s="37" t="s">
        <v>58</v>
      </c>
      <c r="D94" s="38"/>
      <c r="E94" s="36">
        <v>2271</v>
      </c>
      <c r="F94" s="39" t="str">
        <f>E75</f>
        <v>E5 Clair</v>
      </c>
      <c r="G94" s="40">
        <f>I76-144</f>
        <v>709</v>
      </c>
      <c r="H94" s="36"/>
      <c r="I94" s="36">
        <f>2*E79</f>
        <v>2</v>
      </c>
      <c r="J94" s="41" t="s">
        <v>8</v>
      </c>
      <c r="K94" s="42"/>
      <c r="L94" s="43" t="s">
        <v>59</v>
      </c>
      <c r="M94" s="41">
        <v>1</v>
      </c>
      <c r="N94" s="37"/>
      <c r="O94" s="5"/>
      <c r="P94" s="5"/>
      <c r="Q94" s="5"/>
      <c r="R94" s="5"/>
      <c r="S94" s="5"/>
      <c r="T94" s="5"/>
      <c r="U94" s="5"/>
      <c r="V94" s="9" t="s">
        <v>54</v>
      </c>
      <c r="W94" s="9" t="str">
        <f>E80</f>
        <v>AJO 26 - 006</v>
      </c>
      <c r="X94" s="9" t="str">
        <f>D83&amp;"-"&amp;E83</f>
        <v>1-A2-W3</v>
      </c>
      <c r="Y94" s="9">
        <f t="shared" si="6"/>
        <v>2271</v>
      </c>
      <c r="Z94" s="9" t="str">
        <f t="shared" si="6"/>
        <v>E5 Clair</v>
      </c>
      <c r="AA94" s="9">
        <f t="shared" si="6"/>
        <v>709</v>
      </c>
      <c r="AB94" s="9">
        <f t="shared" si="6"/>
        <v>0</v>
      </c>
      <c r="AC94" s="9">
        <f t="shared" si="6"/>
        <v>2</v>
      </c>
      <c r="AD94" s="9" t="str">
        <f t="shared" si="6"/>
        <v>mm</v>
      </c>
      <c r="AE94" s="9" t="str">
        <f t="shared" si="7"/>
        <v>0.0/ 0.0</v>
      </c>
      <c r="AF94" s="9" t="str">
        <f>E73</f>
        <v>O-25035</v>
      </c>
      <c r="AG94" s="9" t="str">
        <f>E74</f>
        <v>Jad Abi Rizk</v>
      </c>
      <c r="AH94" s="9" t="str">
        <f t="shared" si="8"/>
        <v>PARCLOSE</v>
      </c>
      <c r="AI94" s="9" t="str">
        <f>E78</f>
        <v>32 mm</v>
      </c>
      <c r="AJ94" s="9">
        <f>E82</f>
        <v>1</v>
      </c>
      <c r="AK94" s="9">
        <f>E81</f>
        <v>0</v>
      </c>
      <c r="AL94" s="9" t="s">
        <v>57</v>
      </c>
    </row>
    <row r="95" spans="1:38" s="44" customFormat="1" ht="29.25" customHeight="1" x14ac:dyDescent="0.25">
      <c r="A95" s="36">
        <v>10</v>
      </c>
      <c r="B95" s="37"/>
      <c r="C95" s="37" t="s">
        <v>58</v>
      </c>
      <c r="D95" s="38"/>
      <c r="E95" s="36">
        <v>2271</v>
      </c>
      <c r="F95" s="39" t="str">
        <f>E75</f>
        <v>E5 Clair</v>
      </c>
      <c r="G95" s="40">
        <f>IF(M94=1,M72-190,M72-144)</f>
        <v>1073</v>
      </c>
      <c r="H95" s="36"/>
      <c r="I95" s="36">
        <f>2*E79</f>
        <v>2</v>
      </c>
      <c r="J95" s="41" t="s">
        <v>8</v>
      </c>
      <c r="K95" s="42"/>
      <c r="L95" s="43" t="s">
        <v>59</v>
      </c>
      <c r="M95" s="41"/>
      <c r="N95" s="37"/>
      <c r="O95" s="5"/>
      <c r="P95" s="5"/>
      <c r="Q95" s="5"/>
      <c r="R95" s="5"/>
      <c r="S95" s="5"/>
      <c r="T95" s="5"/>
      <c r="U95" s="5"/>
      <c r="V95" s="9" t="s">
        <v>54</v>
      </c>
      <c r="W95" s="9" t="str">
        <f>E80</f>
        <v>AJO 26 - 006</v>
      </c>
      <c r="X95" s="9" t="str">
        <f>D83&amp;"-"&amp;E83</f>
        <v>1-A2-W3</v>
      </c>
      <c r="Y95" s="9">
        <f t="shared" si="6"/>
        <v>2271</v>
      </c>
      <c r="Z95" s="9" t="str">
        <f t="shared" si="6"/>
        <v>E5 Clair</v>
      </c>
      <c r="AA95" s="9">
        <f t="shared" si="6"/>
        <v>1073</v>
      </c>
      <c r="AB95" s="9">
        <f t="shared" si="6"/>
        <v>0</v>
      </c>
      <c r="AC95" s="9">
        <f t="shared" si="6"/>
        <v>2</v>
      </c>
      <c r="AD95" s="9" t="str">
        <f t="shared" si="6"/>
        <v>mm</v>
      </c>
      <c r="AE95" s="9" t="str">
        <f t="shared" si="7"/>
        <v>0.0/ 0.0</v>
      </c>
      <c r="AF95" s="9" t="str">
        <f>E73</f>
        <v>O-25035</v>
      </c>
      <c r="AG95" s="9" t="str">
        <f>E74</f>
        <v>Jad Abi Rizk</v>
      </c>
      <c r="AH95" s="9" t="str">
        <f t="shared" si="8"/>
        <v>PARCLOSE</v>
      </c>
      <c r="AI95" s="9" t="str">
        <f>E78</f>
        <v>32 mm</v>
      </c>
      <c r="AJ95" s="9">
        <f>E82</f>
        <v>1</v>
      </c>
      <c r="AK95" s="9">
        <f>E81</f>
        <v>0</v>
      </c>
      <c r="AL95" s="9" t="s">
        <v>57</v>
      </c>
    </row>
    <row r="96" spans="1:38" s="44" customFormat="1" ht="29.25" customHeight="1" x14ac:dyDescent="0.25">
      <c r="A96" s="36">
        <v>11</v>
      </c>
      <c r="B96" s="37"/>
      <c r="C96" s="37" t="str">
        <f>E76</f>
        <v>TECHNAL FXI</v>
      </c>
      <c r="D96" s="38"/>
      <c r="E96" s="36">
        <v>2010</v>
      </c>
      <c r="F96" s="39" t="str">
        <f>E75</f>
        <v>E5 Clair</v>
      </c>
      <c r="G96" s="40">
        <f>I76-22</f>
        <v>831</v>
      </c>
      <c r="H96" s="36"/>
      <c r="I96" s="36">
        <f>IF(M96=1,2*E79,0)</f>
        <v>0</v>
      </c>
      <c r="J96" s="41" t="s">
        <v>8</v>
      </c>
      <c r="K96" s="42"/>
      <c r="L96" s="43" t="s">
        <v>53</v>
      </c>
      <c r="M96" s="41"/>
      <c r="N96" s="37"/>
      <c r="O96" s="5"/>
      <c r="P96" s="5"/>
      <c r="Q96" s="5"/>
      <c r="R96" s="5"/>
      <c r="S96" s="5"/>
      <c r="T96" s="5"/>
      <c r="U96" s="5"/>
      <c r="V96" s="9" t="s">
        <v>54</v>
      </c>
      <c r="W96" s="9" t="str">
        <f>E80</f>
        <v>AJO 26 - 006</v>
      </c>
      <c r="X96" s="9" t="str">
        <f>D83&amp;"-"&amp;E83</f>
        <v>1-A2-W3</v>
      </c>
      <c r="Y96" s="9">
        <f t="shared" si="6"/>
        <v>2010</v>
      </c>
      <c r="Z96" s="9" t="str">
        <f t="shared" si="6"/>
        <v>E5 Clair</v>
      </c>
      <c r="AA96" s="9">
        <f t="shared" si="6"/>
        <v>831</v>
      </c>
      <c r="AB96" s="9">
        <f t="shared" si="6"/>
        <v>0</v>
      </c>
      <c r="AC96" s="9">
        <f t="shared" si="6"/>
        <v>0</v>
      </c>
      <c r="AD96" s="9" t="str">
        <f t="shared" si="6"/>
        <v>mm</v>
      </c>
      <c r="AE96" s="9" t="str">
        <f t="shared" si="7"/>
        <v>-45.0/ 45.0</v>
      </c>
      <c r="AF96" s="9" t="str">
        <f>E73</f>
        <v>O-25035</v>
      </c>
      <c r="AG96" s="9" t="str">
        <f>E74</f>
        <v>Jad Abi Rizk</v>
      </c>
      <c r="AH96" s="9" t="str">
        <f t="shared" si="8"/>
        <v>TECHNAL FXI</v>
      </c>
      <c r="AI96" s="9" t="str">
        <f>E78</f>
        <v>32 mm</v>
      </c>
      <c r="AJ96" s="9">
        <f>E82</f>
        <v>1</v>
      </c>
      <c r="AK96" s="9">
        <f>E81</f>
        <v>0</v>
      </c>
      <c r="AL96" s="9" t="s">
        <v>57</v>
      </c>
    </row>
    <row r="97" spans="1:38" s="44" customFormat="1" ht="29.25" customHeight="1" x14ac:dyDescent="0.25">
      <c r="A97" s="36">
        <v>12</v>
      </c>
      <c r="B97" s="37"/>
      <c r="C97" s="37" t="str">
        <f>E76</f>
        <v>TECHNAL FXI</v>
      </c>
      <c r="D97" s="38"/>
      <c r="E97" s="36">
        <v>2010</v>
      </c>
      <c r="F97" s="39" t="str">
        <f>E75</f>
        <v>E5 Clair</v>
      </c>
      <c r="G97" s="40">
        <f>M72-22</f>
        <v>1241</v>
      </c>
      <c r="H97" s="36"/>
      <c r="I97" s="36">
        <f>IF(M96=1,2*E79,0)</f>
        <v>0</v>
      </c>
      <c r="J97" s="41" t="s">
        <v>8</v>
      </c>
      <c r="K97" s="42"/>
      <c r="L97" s="43" t="s">
        <v>53</v>
      </c>
      <c r="M97" s="41"/>
      <c r="N97" s="37"/>
      <c r="O97" s="5"/>
      <c r="P97" s="5"/>
      <c r="Q97" s="5"/>
      <c r="R97" s="5"/>
      <c r="S97" s="5"/>
      <c r="T97" s="5"/>
      <c r="U97" s="5"/>
      <c r="V97" s="9" t="s">
        <v>54</v>
      </c>
      <c r="W97" s="9" t="str">
        <f>E80</f>
        <v>AJO 26 - 006</v>
      </c>
      <c r="X97" s="9" t="str">
        <f>D83&amp;"-"&amp;E83</f>
        <v>1-A2-W3</v>
      </c>
      <c r="Y97" s="9">
        <f t="shared" si="6"/>
        <v>2010</v>
      </c>
      <c r="Z97" s="9" t="str">
        <f t="shared" si="6"/>
        <v>E5 Clair</v>
      </c>
      <c r="AA97" s="9">
        <f t="shared" si="6"/>
        <v>1241</v>
      </c>
      <c r="AB97" s="9">
        <f t="shared" si="6"/>
        <v>0</v>
      </c>
      <c r="AC97" s="9">
        <f t="shared" si="6"/>
        <v>0</v>
      </c>
      <c r="AD97" s="9" t="str">
        <f t="shared" si="6"/>
        <v>mm</v>
      </c>
      <c r="AE97" s="9" t="str">
        <f t="shared" si="7"/>
        <v>-45.0/ 45.0</v>
      </c>
      <c r="AF97" s="9" t="str">
        <f>E73</f>
        <v>O-25035</v>
      </c>
      <c r="AG97" s="9" t="str">
        <f>E74</f>
        <v>Jad Abi Rizk</v>
      </c>
      <c r="AH97" s="9" t="str">
        <f t="shared" si="8"/>
        <v>TECHNAL FXI</v>
      </c>
      <c r="AI97" s="9" t="str">
        <f>E78</f>
        <v>32 mm</v>
      </c>
      <c r="AJ97" s="9">
        <f>E82</f>
        <v>1</v>
      </c>
      <c r="AK97" s="9">
        <f>E81</f>
        <v>0</v>
      </c>
      <c r="AL97" s="9" t="s">
        <v>57</v>
      </c>
    </row>
    <row r="98" spans="1:38" s="44" customFormat="1" ht="29.25" customHeight="1" x14ac:dyDescent="0.25">
      <c r="A98" s="36">
        <v>13</v>
      </c>
      <c r="B98" s="37"/>
      <c r="C98" s="47" t="str">
        <f>E76</f>
        <v>TECHNAL FXI</v>
      </c>
      <c r="D98" s="48"/>
      <c r="E98" s="39">
        <v>8015</v>
      </c>
      <c r="F98" s="39" t="str">
        <f>E75</f>
        <v>E5 Clair</v>
      </c>
      <c r="G98" s="49" t="s">
        <v>60</v>
      </c>
      <c r="H98" s="39"/>
      <c r="I98" s="51"/>
      <c r="J98" s="52" t="s">
        <v>8</v>
      </c>
      <c r="K98" s="42"/>
      <c r="L98" s="43" t="s">
        <v>59</v>
      </c>
      <c r="M98" s="41"/>
      <c r="N98" s="37"/>
      <c r="O98" s="5"/>
      <c r="P98" s="5"/>
      <c r="Q98" s="5"/>
      <c r="R98" s="5"/>
      <c r="S98" s="5"/>
      <c r="T98" s="5"/>
      <c r="U98" s="5"/>
      <c r="V98" s="9" t="s">
        <v>54</v>
      </c>
      <c r="W98" s="9" t="str">
        <f>E80</f>
        <v>AJO 26 - 006</v>
      </c>
      <c r="X98" s="9" t="str">
        <f>D83&amp;"-"&amp;E83</f>
        <v>1-A2-W3</v>
      </c>
      <c r="Y98" s="9">
        <f t="shared" si="6"/>
        <v>8015</v>
      </c>
      <c r="Z98" s="9" t="str">
        <f t="shared" si="6"/>
        <v>E5 Clair</v>
      </c>
      <c r="AA98" s="9" t="str">
        <f t="shared" si="6"/>
        <v>1H+ 1L</v>
      </c>
      <c r="AB98" s="9">
        <f t="shared" si="6"/>
        <v>0</v>
      </c>
      <c r="AC98" s="9">
        <f t="shared" si="6"/>
        <v>0</v>
      </c>
      <c r="AD98" s="9" t="str">
        <f t="shared" si="6"/>
        <v>mm</v>
      </c>
      <c r="AE98" s="9" t="str">
        <f t="shared" si="7"/>
        <v>0.0/ 0.0</v>
      </c>
      <c r="AF98" s="9" t="str">
        <f>E73</f>
        <v>O-25035</v>
      </c>
      <c r="AG98" s="9" t="str">
        <f>E74</f>
        <v>Jad Abi Rizk</v>
      </c>
      <c r="AH98" s="9" t="str">
        <f t="shared" si="8"/>
        <v>TECHNAL FXI</v>
      </c>
      <c r="AI98" s="9" t="str">
        <f>E78</f>
        <v>32 mm</v>
      </c>
      <c r="AJ98" s="9">
        <f>E82</f>
        <v>1</v>
      </c>
      <c r="AK98" s="9">
        <f>E81</f>
        <v>0</v>
      </c>
      <c r="AL98" s="9" t="s">
        <v>57</v>
      </c>
    </row>
    <row r="99" spans="1:38" s="44" customFormat="1" ht="29.25" hidden="1" customHeight="1" x14ac:dyDescent="0.25">
      <c r="A99" s="5"/>
      <c r="B99" s="13"/>
      <c r="C99" s="9"/>
      <c r="D99" s="53"/>
      <c r="E99" s="9"/>
      <c r="F99" s="9"/>
      <c r="G99" s="9"/>
      <c r="H99" s="9"/>
      <c r="I99" s="54"/>
      <c r="J99" s="54"/>
      <c r="K99" s="53"/>
      <c r="L99" s="53"/>
      <c r="M99" s="5"/>
      <c r="N99" s="5"/>
      <c r="O99" s="5"/>
      <c r="P99" s="5"/>
      <c r="Q99" s="5"/>
      <c r="R99" s="5"/>
      <c r="S99" s="5"/>
      <c r="T99" s="5"/>
      <c r="U99" s="5"/>
      <c r="V99" s="9" t="s">
        <v>54</v>
      </c>
      <c r="W99" s="9" t="str">
        <f>E80</f>
        <v>AJO 26 - 006</v>
      </c>
      <c r="X99" s="9" t="str">
        <f>D83&amp;"-"&amp;E83</f>
        <v>1-A2-W3</v>
      </c>
      <c r="Y99" s="9">
        <f t="shared" si="6"/>
        <v>0</v>
      </c>
      <c r="Z99" s="9">
        <f t="shared" si="6"/>
        <v>0</v>
      </c>
      <c r="AA99" s="9">
        <f t="shared" si="6"/>
        <v>0</v>
      </c>
      <c r="AB99" s="9">
        <f t="shared" si="6"/>
        <v>0</v>
      </c>
      <c r="AC99" s="9">
        <f t="shared" si="6"/>
        <v>0</v>
      </c>
      <c r="AD99" s="9">
        <f t="shared" si="6"/>
        <v>0</v>
      </c>
      <c r="AE99" s="9">
        <f t="shared" si="7"/>
        <v>0</v>
      </c>
      <c r="AF99" s="9" t="str">
        <f>E73</f>
        <v>O-25035</v>
      </c>
      <c r="AG99" s="9" t="str">
        <f>E74</f>
        <v>Jad Abi Rizk</v>
      </c>
      <c r="AH99" s="9">
        <f t="shared" si="8"/>
        <v>0</v>
      </c>
      <c r="AI99" s="9" t="str">
        <f>E78</f>
        <v>32 mm</v>
      </c>
      <c r="AJ99" s="9">
        <f>E82</f>
        <v>1</v>
      </c>
      <c r="AK99" s="9">
        <f>E81</f>
        <v>0</v>
      </c>
      <c r="AL99" s="9" t="s">
        <v>57</v>
      </c>
    </row>
    <row r="100" spans="1:38" s="44" customFormat="1" ht="29.25" hidden="1" customHeight="1" x14ac:dyDescent="0.25">
      <c r="A100" s="5"/>
      <c r="B100" s="13"/>
      <c r="C100" s="9"/>
      <c r="D100" s="53"/>
      <c r="E100" s="9"/>
      <c r="F100" s="9"/>
      <c r="G100" s="9"/>
      <c r="H100" s="9"/>
      <c r="I100" s="54"/>
      <c r="J100" s="54"/>
      <c r="K100" s="53"/>
      <c r="L100" s="53"/>
      <c r="M100" s="5"/>
      <c r="N100" s="5"/>
      <c r="O100" s="5"/>
      <c r="P100" s="5"/>
      <c r="Q100" s="5"/>
      <c r="R100" s="5"/>
      <c r="S100" s="5"/>
      <c r="T100" s="5"/>
      <c r="U100" s="5"/>
      <c r="V100" s="9" t="s">
        <v>54</v>
      </c>
      <c r="W100" s="9" t="str">
        <f>E80</f>
        <v>AJO 26 - 006</v>
      </c>
      <c r="X100" s="9" t="str">
        <f>D83&amp;"-"&amp;E83</f>
        <v>1-A2-W3</v>
      </c>
      <c r="Y100" s="9">
        <f t="shared" si="6"/>
        <v>0</v>
      </c>
      <c r="Z100" s="9">
        <f t="shared" si="6"/>
        <v>0</v>
      </c>
      <c r="AA100" s="9">
        <f t="shared" si="6"/>
        <v>0</v>
      </c>
      <c r="AB100" s="9">
        <f t="shared" si="6"/>
        <v>0</v>
      </c>
      <c r="AC100" s="9">
        <f t="shared" si="6"/>
        <v>0</v>
      </c>
      <c r="AD100" s="9">
        <f t="shared" si="6"/>
        <v>0</v>
      </c>
      <c r="AE100" s="9">
        <f t="shared" si="7"/>
        <v>0</v>
      </c>
      <c r="AF100" s="9" t="str">
        <f>E73</f>
        <v>O-25035</v>
      </c>
      <c r="AG100" s="9" t="str">
        <f>E74</f>
        <v>Jad Abi Rizk</v>
      </c>
      <c r="AH100" s="9">
        <f t="shared" si="8"/>
        <v>0</v>
      </c>
      <c r="AI100" s="9" t="str">
        <f>E78</f>
        <v>32 mm</v>
      </c>
      <c r="AJ100" s="9">
        <f>E82</f>
        <v>1</v>
      </c>
      <c r="AK100" s="9">
        <f>E81</f>
        <v>0</v>
      </c>
      <c r="AL100" s="9" t="s">
        <v>57</v>
      </c>
    </row>
    <row r="101" spans="1:38" s="44" customFormat="1" ht="29.25" hidden="1" customHeight="1" x14ac:dyDescent="0.25">
      <c r="A101" s="5"/>
      <c r="B101" s="13"/>
      <c r="C101" s="9"/>
      <c r="D101" s="53"/>
      <c r="E101" s="9"/>
      <c r="F101" s="9"/>
      <c r="G101" s="9"/>
      <c r="H101" s="9"/>
      <c r="I101" s="54"/>
      <c r="J101" s="54"/>
      <c r="K101" s="53"/>
      <c r="L101" s="53"/>
      <c r="M101" s="5"/>
      <c r="N101" s="5"/>
      <c r="O101" s="5"/>
      <c r="P101" s="5"/>
      <c r="Q101" s="5"/>
      <c r="R101" s="5"/>
      <c r="S101" s="5"/>
      <c r="T101" s="5"/>
      <c r="U101" s="5"/>
      <c r="V101" s="9" t="s">
        <v>54</v>
      </c>
      <c r="W101" s="9" t="str">
        <f>E80</f>
        <v>AJO 26 - 006</v>
      </c>
      <c r="X101" s="9" t="str">
        <f>D83&amp;"-"&amp;E83</f>
        <v>1-A2-W3</v>
      </c>
      <c r="Y101" s="9">
        <f t="shared" si="6"/>
        <v>0</v>
      </c>
      <c r="Z101" s="9">
        <f t="shared" si="6"/>
        <v>0</v>
      </c>
      <c r="AA101" s="9">
        <f t="shared" si="6"/>
        <v>0</v>
      </c>
      <c r="AB101" s="9">
        <f t="shared" si="6"/>
        <v>0</v>
      </c>
      <c r="AC101" s="9">
        <f t="shared" si="6"/>
        <v>0</v>
      </c>
      <c r="AD101" s="9">
        <f t="shared" si="6"/>
        <v>0</v>
      </c>
      <c r="AE101" s="9">
        <f t="shared" si="7"/>
        <v>0</v>
      </c>
      <c r="AF101" s="9" t="str">
        <f>E73</f>
        <v>O-25035</v>
      </c>
      <c r="AG101" s="9" t="str">
        <f>E74</f>
        <v>Jad Abi Rizk</v>
      </c>
      <c r="AH101" s="9">
        <f t="shared" si="8"/>
        <v>0</v>
      </c>
      <c r="AI101" s="9" t="str">
        <f>E78</f>
        <v>32 mm</v>
      </c>
      <c r="AJ101" s="9">
        <f>E82</f>
        <v>1</v>
      </c>
      <c r="AK101" s="9">
        <f>E81</f>
        <v>0</v>
      </c>
      <c r="AL101" s="9" t="s">
        <v>57</v>
      </c>
    </row>
    <row r="102" spans="1:38" s="44" customFormat="1" ht="29.25" hidden="1" customHeight="1" x14ac:dyDescent="0.25">
      <c r="A102" s="5"/>
      <c r="B102" s="13"/>
      <c r="C102" s="9"/>
      <c r="D102" s="53"/>
      <c r="E102" s="9"/>
      <c r="F102" s="9"/>
      <c r="G102" s="9"/>
      <c r="H102" s="9"/>
      <c r="I102" s="54"/>
      <c r="J102" s="54"/>
      <c r="K102" s="53"/>
      <c r="L102" s="53"/>
      <c r="M102" s="5"/>
      <c r="N102" s="5"/>
      <c r="O102" s="5"/>
      <c r="P102" s="5"/>
      <c r="Q102" s="5"/>
      <c r="R102" s="5"/>
      <c r="S102" s="5"/>
      <c r="T102" s="5"/>
      <c r="U102" s="5"/>
      <c r="V102" s="9" t="s">
        <v>54</v>
      </c>
      <c r="W102" s="9" t="str">
        <f>E80</f>
        <v>AJO 26 - 006</v>
      </c>
      <c r="X102" s="9" t="str">
        <f>D83&amp;"-"&amp;E83</f>
        <v>1-A2-W3</v>
      </c>
      <c r="Y102" s="9">
        <f t="shared" si="6"/>
        <v>0</v>
      </c>
      <c r="Z102" s="9">
        <f t="shared" si="6"/>
        <v>0</v>
      </c>
      <c r="AA102" s="9">
        <f t="shared" si="6"/>
        <v>0</v>
      </c>
      <c r="AB102" s="9">
        <f t="shared" si="6"/>
        <v>0</v>
      </c>
      <c r="AC102" s="9">
        <f t="shared" si="6"/>
        <v>0</v>
      </c>
      <c r="AD102" s="9">
        <f t="shared" si="6"/>
        <v>0</v>
      </c>
      <c r="AE102" s="9">
        <f t="shared" si="7"/>
        <v>0</v>
      </c>
      <c r="AF102" s="9" t="str">
        <f>E73</f>
        <v>O-25035</v>
      </c>
      <c r="AG102" s="9" t="str">
        <f>E74</f>
        <v>Jad Abi Rizk</v>
      </c>
      <c r="AH102" s="9">
        <f t="shared" si="8"/>
        <v>0</v>
      </c>
      <c r="AI102" s="9" t="str">
        <f>E78</f>
        <v>32 mm</v>
      </c>
      <c r="AJ102" s="9">
        <f>E82</f>
        <v>1</v>
      </c>
      <c r="AK102" s="9">
        <f>E81</f>
        <v>0</v>
      </c>
      <c r="AL102" s="9" t="s">
        <v>57</v>
      </c>
    </row>
    <row r="103" spans="1:38" s="44" customFormat="1" ht="29.25" hidden="1" customHeight="1" x14ac:dyDescent="0.25">
      <c r="A103" s="5"/>
      <c r="B103" s="13"/>
      <c r="C103" s="9"/>
      <c r="D103" s="53"/>
      <c r="E103" s="9"/>
      <c r="F103" s="9"/>
      <c r="G103" s="9"/>
      <c r="H103" s="9"/>
      <c r="I103" s="54"/>
      <c r="J103" s="54"/>
      <c r="K103" s="53"/>
      <c r="L103" s="53"/>
      <c r="M103" s="5"/>
      <c r="N103" s="5"/>
      <c r="O103" s="5"/>
      <c r="P103" s="5"/>
      <c r="Q103" s="5"/>
      <c r="R103" s="5"/>
      <c r="S103" s="5"/>
      <c r="T103" s="5"/>
      <c r="U103" s="5"/>
      <c r="V103" s="9" t="s">
        <v>54</v>
      </c>
      <c r="W103" s="9" t="str">
        <f>E80</f>
        <v>AJO 26 - 006</v>
      </c>
      <c r="X103" s="9" t="str">
        <f>D83&amp;"-"&amp;E83</f>
        <v>1-A2-W3</v>
      </c>
      <c r="Y103" s="9">
        <f t="shared" si="6"/>
        <v>0</v>
      </c>
      <c r="Z103" s="9">
        <f t="shared" si="6"/>
        <v>0</v>
      </c>
      <c r="AA103" s="9">
        <f t="shared" si="6"/>
        <v>0</v>
      </c>
      <c r="AB103" s="9">
        <f t="shared" si="6"/>
        <v>0</v>
      </c>
      <c r="AC103" s="9">
        <f t="shared" si="6"/>
        <v>0</v>
      </c>
      <c r="AD103" s="9">
        <f t="shared" si="6"/>
        <v>0</v>
      </c>
      <c r="AE103" s="9">
        <f t="shared" si="7"/>
        <v>0</v>
      </c>
      <c r="AF103" s="9" t="str">
        <f>E73</f>
        <v>O-25035</v>
      </c>
      <c r="AG103" s="9" t="str">
        <f>E74</f>
        <v>Jad Abi Rizk</v>
      </c>
      <c r="AH103" s="9">
        <f t="shared" si="8"/>
        <v>0</v>
      </c>
      <c r="AI103" s="9" t="str">
        <f>E78</f>
        <v>32 mm</v>
      </c>
      <c r="AJ103" s="9">
        <f>E82</f>
        <v>1</v>
      </c>
      <c r="AK103" s="9">
        <f>E81</f>
        <v>0</v>
      </c>
      <c r="AL103" s="9" t="s">
        <v>57</v>
      </c>
    </row>
    <row r="104" spans="1:38" s="44" customFormat="1" ht="29.25" hidden="1" customHeight="1" x14ac:dyDescent="0.25">
      <c r="A104" s="5"/>
      <c r="B104" s="13"/>
      <c r="C104" s="9"/>
      <c r="D104" s="53"/>
      <c r="E104" s="9"/>
      <c r="F104" s="9"/>
      <c r="G104" s="9"/>
      <c r="H104" s="9"/>
      <c r="I104" s="54"/>
      <c r="J104" s="54"/>
      <c r="K104" s="53"/>
      <c r="L104" s="53"/>
      <c r="M104" s="5"/>
      <c r="N104" s="5"/>
      <c r="O104" s="5"/>
      <c r="P104" s="5"/>
      <c r="Q104" s="5"/>
      <c r="R104" s="5"/>
      <c r="S104" s="5"/>
      <c r="T104" s="5"/>
      <c r="U104" s="5"/>
      <c r="V104" s="53"/>
      <c r="W104" s="55"/>
      <c r="X104" s="55"/>
      <c r="Y104" s="55"/>
      <c r="Z104" s="55"/>
      <c r="AA104" s="55"/>
      <c r="AB104" s="55"/>
      <c r="AC104" s="55"/>
      <c r="AD104" s="55"/>
      <c r="AE104" s="56"/>
      <c r="AF104" s="56"/>
      <c r="AG104" s="56"/>
      <c r="AH104" s="56"/>
      <c r="AI104" s="56"/>
      <c r="AJ104" s="56"/>
      <c r="AK104" s="56"/>
      <c r="AL104" s="56"/>
    </row>
    <row r="105" spans="1:38" s="44" customFormat="1" ht="29.25" hidden="1" customHeight="1" x14ac:dyDescent="0.25">
      <c r="A105" s="5"/>
      <c r="B105" s="13"/>
      <c r="C105" s="9"/>
      <c r="D105" s="53"/>
      <c r="E105" s="9"/>
      <c r="F105" s="9"/>
      <c r="G105" s="9"/>
      <c r="H105" s="9"/>
      <c r="I105" s="54"/>
      <c r="J105" s="54"/>
      <c r="K105" s="53"/>
      <c r="L105" s="53"/>
      <c r="M105" s="5"/>
      <c r="N105" s="5"/>
      <c r="O105" s="5"/>
      <c r="P105" s="5"/>
      <c r="Q105" s="5"/>
      <c r="R105" s="5"/>
      <c r="S105" s="5"/>
      <c r="T105" s="5"/>
      <c r="U105" s="5"/>
      <c r="V105" s="53"/>
      <c r="W105" s="55"/>
      <c r="X105" s="55"/>
      <c r="Y105" s="55"/>
      <c r="Z105" s="55"/>
      <c r="AA105" s="55"/>
      <c r="AB105" s="55"/>
      <c r="AC105" s="55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spans="1:38" s="44" customFormat="1" ht="29.25" hidden="1" customHeight="1" x14ac:dyDescent="0.25">
      <c r="A106" s="5"/>
      <c r="B106" s="13"/>
      <c r="C106" s="9"/>
      <c r="D106" s="53"/>
      <c r="E106" s="9"/>
      <c r="F106" s="9"/>
      <c r="G106" s="9"/>
      <c r="H106" s="9"/>
      <c r="I106" s="54"/>
      <c r="J106" s="54"/>
      <c r="K106" s="53"/>
      <c r="L106" s="53"/>
      <c r="M106" s="5"/>
      <c r="N106" s="5"/>
      <c r="O106" s="5"/>
      <c r="P106" s="5"/>
      <c r="Q106" s="5"/>
      <c r="R106" s="5"/>
      <c r="S106" s="5"/>
      <c r="T106" s="5"/>
      <c r="U106" s="5"/>
      <c r="V106" s="53"/>
      <c r="W106" s="55"/>
      <c r="X106" s="55"/>
      <c r="Y106" s="55"/>
      <c r="Z106" s="55"/>
      <c r="AA106" s="55"/>
      <c r="AB106" s="55"/>
      <c r="AC106" s="55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spans="1:38" s="59" customFormat="1" ht="29.1" customHeight="1" thickBot="1" x14ac:dyDescent="0.3">
      <c r="A107" s="57" t="s">
        <v>61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1:38" s="7" customFormat="1" ht="29.1" customHeight="1" thickBot="1" x14ac:dyDescent="0.3">
      <c r="A108" s="29" t="s">
        <v>33</v>
      </c>
      <c r="B108" s="30"/>
      <c r="C108" s="31" t="s">
        <v>34</v>
      </c>
      <c r="D108" s="32"/>
      <c r="E108" s="29" t="s">
        <v>62</v>
      </c>
      <c r="F108" s="29" t="s">
        <v>36</v>
      </c>
      <c r="G108" s="29" t="s">
        <v>37</v>
      </c>
      <c r="H108" s="29" t="s">
        <v>38</v>
      </c>
      <c r="I108" s="60" t="s">
        <v>27</v>
      </c>
      <c r="J108" s="60" t="s">
        <v>39</v>
      </c>
      <c r="K108" s="30"/>
      <c r="L108" s="32"/>
      <c r="M108" s="31" t="s">
        <v>63</v>
      </c>
      <c r="N108" s="34"/>
      <c r="O108" s="5"/>
      <c r="P108" s="5"/>
      <c r="Q108" s="5"/>
      <c r="R108" s="5"/>
      <c r="S108" s="5"/>
      <c r="T108" s="5"/>
      <c r="U108" s="5"/>
      <c r="V108" s="4"/>
      <c r="W108" s="4"/>
      <c r="X108" s="4"/>
      <c r="Y108" s="4"/>
      <c r="Z108" s="4"/>
      <c r="AA108" s="4"/>
      <c r="AB108" s="4"/>
      <c r="AC108" s="4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1:38" s="44" customFormat="1" ht="15.6" customHeight="1" x14ac:dyDescent="0.2">
      <c r="A109" s="51">
        <v>1</v>
      </c>
      <c r="B109" s="61"/>
      <c r="C109" s="47" t="str">
        <f>E76</f>
        <v>TECHNAL FXI</v>
      </c>
      <c r="D109" s="48"/>
      <c r="E109" s="39" t="s">
        <v>64</v>
      </c>
      <c r="F109" s="39"/>
      <c r="G109" s="39"/>
      <c r="H109" s="51"/>
      <c r="I109" s="39">
        <f>8*E79</f>
        <v>8</v>
      </c>
      <c r="J109" s="39" t="s">
        <v>65</v>
      </c>
      <c r="K109" s="62"/>
      <c r="L109" s="63"/>
      <c r="M109" s="5"/>
      <c r="N109" s="5"/>
      <c r="O109" s="5"/>
      <c r="P109" s="5"/>
      <c r="Q109" s="5"/>
      <c r="R109" s="5"/>
      <c r="S109" s="5"/>
      <c r="T109" s="5"/>
      <c r="U109" s="5"/>
      <c r="V109" s="35" t="s">
        <v>66</v>
      </c>
      <c r="W109" s="9" t="str">
        <f>E80</f>
        <v>AJO 26 - 006</v>
      </c>
      <c r="X109" s="9" t="str">
        <f>D83&amp;"-"&amp;E83</f>
        <v>1-A2-W3</v>
      </c>
      <c r="Y109" s="9" t="str">
        <f t="shared" ref="Y109:AD132" si="9">E109</f>
        <v>EE001</v>
      </c>
      <c r="Z109" s="9">
        <f t="shared" si="9"/>
        <v>0</v>
      </c>
      <c r="AA109" s="9">
        <f t="shared" si="9"/>
        <v>0</v>
      </c>
      <c r="AB109" s="9">
        <f t="shared" si="9"/>
        <v>0</v>
      </c>
      <c r="AC109" s="9">
        <f t="shared" si="9"/>
        <v>8</v>
      </c>
      <c r="AD109" s="9" t="str">
        <f t="shared" si="9"/>
        <v>pcs</v>
      </c>
      <c r="AE109" s="9">
        <f t="shared" ref="AE109:AE132" si="10">L109</f>
        <v>0</v>
      </c>
      <c r="AF109" s="9" t="str">
        <f>E73</f>
        <v>O-25035</v>
      </c>
      <c r="AG109" s="9" t="str">
        <f>E74</f>
        <v>Jad Abi Rizk</v>
      </c>
      <c r="AH109" s="9" t="str">
        <f t="shared" ref="AH109:AH132" si="11">C109</f>
        <v>TECHNAL FXI</v>
      </c>
      <c r="AI109" s="9" t="str">
        <f>E78</f>
        <v>32 mm</v>
      </c>
      <c r="AJ109" s="9">
        <f>E82</f>
        <v>1</v>
      </c>
      <c r="AK109" s="9">
        <f>E81</f>
        <v>0</v>
      </c>
      <c r="AL109" s="9" t="s">
        <v>57</v>
      </c>
    </row>
    <row r="110" spans="1:38" s="44" customFormat="1" ht="15.6" customHeight="1" x14ac:dyDescent="0.2">
      <c r="A110" s="51">
        <v>2</v>
      </c>
      <c r="B110" s="61"/>
      <c r="C110" s="47" t="str">
        <f>E76</f>
        <v>TECHNAL FXI</v>
      </c>
      <c r="D110" s="48"/>
      <c r="E110" s="39" t="s">
        <v>67</v>
      </c>
      <c r="F110" s="39"/>
      <c r="G110" s="39"/>
      <c r="H110" s="39"/>
      <c r="I110" s="39">
        <f>4*E79</f>
        <v>4</v>
      </c>
      <c r="J110" s="39" t="s">
        <v>65</v>
      </c>
      <c r="K110" s="62"/>
      <c r="L110" s="64"/>
      <c r="M110" s="37"/>
      <c r="N110" s="37"/>
      <c r="O110" s="5"/>
      <c r="P110" s="5"/>
      <c r="Q110" s="5"/>
      <c r="R110" s="5"/>
      <c r="S110" s="5"/>
      <c r="T110" s="5"/>
      <c r="U110" s="5"/>
      <c r="V110" s="35" t="s">
        <v>66</v>
      </c>
      <c r="W110" s="9" t="str">
        <f>E80</f>
        <v>AJO 26 - 006</v>
      </c>
      <c r="X110" s="9" t="str">
        <f>D83&amp;"-"&amp;E83</f>
        <v>1-A2-W3</v>
      </c>
      <c r="Y110" s="9" t="str">
        <f t="shared" si="9"/>
        <v>CF005</v>
      </c>
      <c r="Z110" s="9">
        <f t="shared" si="9"/>
        <v>0</v>
      </c>
      <c r="AA110" s="9">
        <f t="shared" si="9"/>
        <v>0</v>
      </c>
      <c r="AB110" s="9">
        <f t="shared" si="9"/>
        <v>0</v>
      </c>
      <c r="AC110" s="9">
        <f t="shared" si="9"/>
        <v>4</v>
      </c>
      <c r="AD110" s="9" t="str">
        <f t="shared" si="9"/>
        <v>pcs</v>
      </c>
      <c r="AE110" s="9">
        <f t="shared" si="10"/>
        <v>0</v>
      </c>
      <c r="AF110" s="9" t="str">
        <f>E73</f>
        <v>O-25035</v>
      </c>
      <c r="AG110" s="9" t="str">
        <f>E74</f>
        <v>Jad Abi Rizk</v>
      </c>
      <c r="AH110" s="9" t="str">
        <f t="shared" si="11"/>
        <v>TECHNAL FXI</v>
      </c>
      <c r="AI110" s="9" t="str">
        <f>E78</f>
        <v>32 mm</v>
      </c>
      <c r="AJ110" s="9">
        <f>E82</f>
        <v>1</v>
      </c>
      <c r="AK110" s="9">
        <f>E81</f>
        <v>0</v>
      </c>
      <c r="AL110" s="9" t="s">
        <v>57</v>
      </c>
    </row>
    <row r="111" spans="1:38" s="44" customFormat="1" ht="15.6" customHeight="1" x14ac:dyDescent="0.2">
      <c r="A111" s="51">
        <v>3</v>
      </c>
      <c r="B111" s="61"/>
      <c r="C111" s="47" t="str">
        <f>E76</f>
        <v>TECHNAL FXI</v>
      </c>
      <c r="D111" s="48"/>
      <c r="E111" s="39" t="s">
        <v>68</v>
      </c>
      <c r="F111" s="39"/>
      <c r="G111" s="39"/>
      <c r="H111" s="51"/>
      <c r="I111" s="39">
        <f>2*E79</f>
        <v>2</v>
      </c>
      <c r="J111" s="39" t="s">
        <v>65</v>
      </c>
      <c r="K111" s="62"/>
      <c r="L111" s="64"/>
      <c r="M111" s="5"/>
      <c r="N111" s="5"/>
      <c r="O111" s="5"/>
      <c r="P111" s="5"/>
      <c r="Q111" s="5"/>
      <c r="R111" s="5"/>
      <c r="S111" s="5"/>
      <c r="T111" s="5"/>
      <c r="U111" s="5"/>
      <c r="V111" s="35" t="s">
        <v>66</v>
      </c>
      <c r="W111" s="9" t="str">
        <f>E80</f>
        <v>AJO 26 - 006</v>
      </c>
      <c r="X111" s="9" t="str">
        <f>D83&amp;"-"&amp;E83</f>
        <v>1-A2-W3</v>
      </c>
      <c r="Y111" s="9" t="str">
        <f t="shared" si="9"/>
        <v>CF018</v>
      </c>
      <c r="Z111" s="9">
        <f t="shared" si="9"/>
        <v>0</v>
      </c>
      <c r="AA111" s="9">
        <f t="shared" si="9"/>
        <v>0</v>
      </c>
      <c r="AB111" s="9">
        <f t="shared" si="9"/>
        <v>0</v>
      </c>
      <c r="AC111" s="9">
        <f t="shared" si="9"/>
        <v>2</v>
      </c>
      <c r="AD111" s="9" t="str">
        <f t="shared" si="9"/>
        <v>pcs</v>
      </c>
      <c r="AE111" s="9">
        <f t="shared" si="10"/>
        <v>0</v>
      </c>
      <c r="AF111" s="9" t="str">
        <f>E73</f>
        <v>O-25035</v>
      </c>
      <c r="AG111" s="9" t="str">
        <f>E74</f>
        <v>Jad Abi Rizk</v>
      </c>
      <c r="AH111" s="9" t="str">
        <f t="shared" si="11"/>
        <v>TECHNAL FXI</v>
      </c>
      <c r="AI111" s="9" t="str">
        <f>E78</f>
        <v>32 mm</v>
      </c>
      <c r="AJ111" s="9">
        <f>E82</f>
        <v>1</v>
      </c>
      <c r="AK111" s="9">
        <f>E81</f>
        <v>0</v>
      </c>
      <c r="AL111" s="9" t="s">
        <v>57</v>
      </c>
    </row>
    <row r="112" spans="1:38" s="44" customFormat="1" ht="15.6" customHeight="1" x14ac:dyDescent="0.2">
      <c r="A112" s="51">
        <v>4</v>
      </c>
      <c r="B112" s="61"/>
      <c r="C112" s="47" t="str">
        <f>E76</f>
        <v>TECHNAL FXI</v>
      </c>
      <c r="D112" s="48"/>
      <c r="E112" s="39" t="s">
        <v>69</v>
      </c>
      <c r="F112" s="39"/>
      <c r="G112" s="39"/>
      <c r="H112" s="51"/>
      <c r="I112" s="39">
        <f>8*E79</f>
        <v>8</v>
      </c>
      <c r="J112" s="39" t="s">
        <v>65</v>
      </c>
      <c r="K112" s="62"/>
      <c r="L112" s="64"/>
      <c r="M112" s="37"/>
      <c r="N112" s="37"/>
      <c r="O112" s="5"/>
      <c r="P112" s="5"/>
      <c r="Q112" s="5"/>
      <c r="R112" s="5"/>
      <c r="S112" s="5"/>
      <c r="T112" s="5"/>
      <c r="U112" s="5"/>
      <c r="V112" s="35" t="s">
        <v>66</v>
      </c>
      <c r="W112" s="9" t="str">
        <f>E80</f>
        <v>AJO 26 - 006</v>
      </c>
      <c r="X112" s="9" t="str">
        <f>D83&amp;"-"&amp;E83</f>
        <v>1-A2-W3</v>
      </c>
      <c r="Y112" s="9" t="str">
        <f t="shared" si="9"/>
        <v>CF023</v>
      </c>
      <c r="Z112" s="9">
        <f t="shared" si="9"/>
        <v>0</v>
      </c>
      <c r="AA112" s="9">
        <f t="shared" si="9"/>
        <v>0</v>
      </c>
      <c r="AB112" s="9">
        <f t="shared" si="9"/>
        <v>0</v>
      </c>
      <c r="AC112" s="9">
        <f t="shared" si="9"/>
        <v>8</v>
      </c>
      <c r="AD112" s="9" t="str">
        <f t="shared" si="9"/>
        <v>pcs</v>
      </c>
      <c r="AE112" s="9">
        <f t="shared" si="10"/>
        <v>0</v>
      </c>
      <c r="AF112" s="9" t="str">
        <f>E73</f>
        <v>O-25035</v>
      </c>
      <c r="AG112" s="9" t="str">
        <f>E74</f>
        <v>Jad Abi Rizk</v>
      </c>
      <c r="AH112" s="9" t="str">
        <f t="shared" si="11"/>
        <v>TECHNAL FXI</v>
      </c>
      <c r="AI112" s="9" t="str">
        <f>E78</f>
        <v>32 mm</v>
      </c>
      <c r="AJ112" s="9">
        <f>E82</f>
        <v>1</v>
      </c>
      <c r="AK112" s="9">
        <f>E81</f>
        <v>0</v>
      </c>
      <c r="AL112" s="9" t="s">
        <v>57</v>
      </c>
    </row>
    <row r="113" spans="1:38" s="44" customFormat="1" ht="15.6" customHeight="1" x14ac:dyDescent="0.2">
      <c r="A113" s="51">
        <v>5</v>
      </c>
      <c r="B113" s="61"/>
      <c r="C113" s="47" t="str">
        <f>E76</f>
        <v>TECHNAL FXI</v>
      </c>
      <c r="D113" s="48"/>
      <c r="E113" s="39" t="s">
        <v>70</v>
      </c>
      <c r="F113" s="39"/>
      <c r="G113" s="39"/>
      <c r="H113" s="51"/>
      <c r="I113" s="39">
        <f>1*E79</f>
        <v>1</v>
      </c>
      <c r="J113" s="39" t="s">
        <v>65</v>
      </c>
      <c r="K113" s="62"/>
      <c r="L113" s="64"/>
      <c r="M113" s="5"/>
      <c r="N113" s="5"/>
      <c r="O113" s="5"/>
      <c r="P113" s="5"/>
      <c r="Q113" s="5"/>
      <c r="R113" s="5"/>
      <c r="S113" s="5"/>
      <c r="T113" s="5"/>
      <c r="U113" s="5"/>
      <c r="V113" s="35" t="s">
        <v>66</v>
      </c>
      <c r="W113" s="9" t="str">
        <f>E80</f>
        <v>AJO 26 - 006</v>
      </c>
      <c r="X113" s="9" t="str">
        <f>D83&amp;"-"&amp;E83</f>
        <v>1-A2-W3</v>
      </c>
      <c r="Y113" s="9" t="str">
        <f t="shared" si="9"/>
        <v>KF012</v>
      </c>
      <c r="Z113" s="9">
        <f t="shared" si="9"/>
        <v>0</v>
      </c>
      <c r="AA113" s="9">
        <f t="shared" si="9"/>
        <v>0</v>
      </c>
      <c r="AB113" s="9">
        <f t="shared" si="9"/>
        <v>0</v>
      </c>
      <c r="AC113" s="9">
        <f t="shared" si="9"/>
        <v>1</v>
      </c>
      <c r="AD113" s="9" t="str">
        <f t="shared" si="9"/>
        <v>pcs</v>
      </c>
      <c r="AE113" s="9">
        <f t="shared" si="10"/>
        <v>0</v>
      </c>
      <c r="AF113" s="9" t="str">
        <f>E73</f>
        <v>O-25035</v>
      </c>
      <c r="AG113" s="9" t="str">
        <f>E74</f>
        <v>Jad Abi Rizk</v>
      </c>
      <c r="AH113" s="9" t="str">
        <f t="shared" si="11"/>
        <v>TECHNAL FXI</v>
      </c>
      <c r="AI113" s="9" t="str">
        <f>E78</f>
        <v>32 mm</v>
      </c>
      <c r="AJ113" s="9">
        <f>E82</f>
        <v>1</v>
      </c>
      <c r="AK113" s="9">
        <f>E81</f>
        <v>0</v>
      </c>
      <c r="AL113" s="9">
        <f>M78</f>
        <v>500</v>
      </c>
    </row>
    <row r="114" spans="1:38" s="44" customFormat="1" ht="15.6" customHeight="1" x14ac:dyDescent="0.2">
      <c r="A114" s="51">
        <v>6</v>
      </c>
      <c r="B114" s="61"/>
      <c r="C114" s="47" t="str">
        <f>E76</f>
        <v>TECHNAL FXI</v>
      </c>
      <c r="D114" s="48"/>
      <c r="E114" s="39" t="s">
        <v>71</v>
      </c>
      <c r="F114" s="39"/>
      <c r="G114" s="39"/>
      <c r="H114" s="51"/>
      <c r="I114" s="39">
        <f>1*E79</f>
        <v>1</v>
      </c>
      <c r="J114" s="39" t="s">
        <v>65</v>
      </c>
      <c r="K114" s="62"/>
      <c r="L114" s="64"/>
      <c r="M114" s="65"/>
      <c r="N114" s="37"/>
      <c r="O114" s="5"/>
      <c r="P114" s="5"/>
      <c r="Q114" s="5"/>
      <c r="R114" s="5"/>
      <c r="S114" s="5"/>
      <c r="T114" s="5"/>
      <c r="U114" s="5"/>
      <c r="V114" s="35" t="s">
        <v>66</v>
      </c>
      <c r="W114" s="9" t="str">
        <f>E80</f>
        <v>AJO 26 - 006</v>
      </c>
      <c r="X114" s="9" t="str">
        <f>D83&amp;"-"&amp;E83</f>
        <v>1-A2-W3</v>
      </c>
      <c r="Y114" s="9" t="str">
        <f t="shared" si="9"/>
        <v>KF037</v>
      </c>
      <c r="Z114" s="9">
        <f t="shared" si="9"/>
        <v>0</v>
      </c>
      <c r="AA114" s="9">
        <f t="shared" si="9"/>
        <v>0</v>
      </c>
      <c r="AB114" s="9">
        <f t="shared" si="9"/>
        <v>0</v>
      </c>
      <c r="AC114" s="9">
        <f t="shared" si="9"/>
        <v>1</v>
      </c>
      <c r="AD114" s="9" t="str">
        <f t="shared" si="9"/>
        <v>pcs</v>
      </c>
      <c r="AE114" s="9">
        <f t="shared" si="10"/>
        <v>0</v>
      </c>
      <c r="AF114" s="9" t="str">
        <f>E73</f>
        <v>O-25035</v>
      </c>
      <c r="AG114" s="9" t="str">
        <f>E74</f>
        <v>Jad Abi Rizk</v>
      </c>
      <c r="AH114" s="9" t="str">
        <f t="shared" si="11"/>
        <v>TECHNAL FXI</v>
      </c>
      <c r="AI114" s="9" t="str">
        <f>E78</f>
        <v>32 mm</v>
      </c>
      <c r="AJ114" s="9">
        <f>E82</f>
        <v>1</v>
      </c>
      <c r="AK114" s="9">
        <f>E81</f>
        <v>0</v>
      </c>
      <c r="AL114" s="9">
        <f>M78</f>
        <v>500</v>
      </c>
    </row>
    <row r="115" spans="1:38" s="44" customFormat="1" ht="15.6" customHeight="1" x14ac:dyDescent="0.2">
      <c r="A115" s="51">
        <v>7</v>
      </c>
      <c r="B115" s="61"/>
      <c r="C115" s="47" t="str">
        <f>E76</f>
        <v>TECHNAL FXI</v>
      </c>
      <c r="D115" s="48"/>
      <c r="E115" s="39" t="s">
        <v>72</v>
      </c>
      <c r="F115" s="39"/>
      <c r="G115" s="39"/>
      <c r="H115" s="51"/>
      <c r="I115" s="39">
        <f>2*E79</f>
        <v>2</v>
      </c>
      <c r="J115" s="39" t="s">
        <v>65</v>
      </c>
      <c r="K115" s="62"/>
      <c r="L115" s="64"/>
      <c r="M115" s="65"/>
      <c r="N115" s="5"/>
      <c r="O115" s="5"/>
      <c r="P115" s="5"/>
      <c r="Q115" s="5"/>
      <c r="R115" s="5"/>
      <c r="S115" s="5"/>
      <c r="T115" s="5"/>
      <c r="U115" s="5"/>
      <c r="V115" s="35" t="s">
        <v>66</v>
      </c>
      <c r="W115" s="9" t="str">
        <f>E80</f>
        <v>AJO 26 - 006</v>
      </c>
      <c r="X115" s="9" t="str">
        <f>D83&amp;"-"&amp;E83</f>
        <v>1-A2-W3</v>
      </c>
      <c r="Y115" s="9" t="str">
        <f t="shared" si="9"/>
        <v>CF019</v>
      </c>
      <c r="Z115" s="9">
        <f t="shared" si="9"/>
        <v>0</v>
      </c>
      <c r="AA115" s="9">
        <f t="shared" si="9"/>
        <v>0</v>
      </c>
      <c r="AB115" s="9">
        <f t="shared" si="9"/>
        <v>0</v>
      </c>
      <c r="AC115" s="9">
        <f t="shared" si="9"/>
        <v>2</v>
      </c>
      <c r="AD115" s="9" t="str">
        <f t="shared" si="9"/>
        <v>pcs</v>
      </c>
      <c r="AE115" s="9">
        <f t="shared" si="10"/>
        <v>0</v>
      </c>
      <c r="AF115" s="9" t="str">
        <f>E73</f>
        <v>O-25035</v>
      </c>
      <c r="AG115" s="9" t="str">
        <f>E74</f>
        <v>Jad Abi Rizk</v>
      </c>
      <c r="AH115" s="9" t="str">
        <f t="shared" si="11"/>
        <v>TECHNAL FXI</v>
      </c>
      <c r="AI115" s="9" t="str">
        <f>E78</f>
        <v>32 mm</v>
      </c>
      <c r="AJ115" s="9">
        <f>E82</f>
        <v>1</v>
      </c>
      <c r="AK115" s="9">
        <f>E81</f>
        <v>0</v>
      </c>
      <c r="AL115" s="9" t="s">
        <v>57</v>
      </c>
    </row>
    <row r="116" spans="1:38" s="44" customFormat="1" ht="15.6" customHeight="1" x14ac:dyDescent="0.2">
      <c r="A116" s="51">
        <v>8</v>
      </c>
      <c r="B116" s="61"/>
      <c r="C116" s="47" t="str">
        <f>E76</f>
        <v>TECHNAL FXI</v>
      </c>
      <c r="D116" s="48"/>
      <c r="E116" s="39" t="s">
        <v>73</v>
      </c>
      <c r="F116" s="39"/>
      <c r="G116" s="39"/>
      <c r="H116" s="51"/>
      <c r="I116" s="39">
        <f>1*E79</f>
        <v>1</v>
      </c>
      <c r="J116" s="39" t="s">
        <v>65</v>
      </c>
      <c r="K116" s="62"/>
      <c r="L116" s="64"/>
      <c r="M116" s="65"/>
      <c r="N116" s="37"/>
      <c r="O116" s="5"/>
      <c r="P116" s="5"/>
      <c r="Q116" s="5"/>
      <c r="R116" s="5"/>
      <c r="S116" s="5"/>
      <c r="T116" s="5"/>
      <c r="U116" s="5"/>
      <c r="V116" s="35" t="s">
        <v>66</v>
      </c>
      <c r="W116" s="9" t="str">
        <f>E80</f>
        <v>AJO 26 - 006</v>
      </c>
      <c r="X116" s="9" t="str">
        <f>D83&amp;"-"&amp;E83</f>
        <v>1-A2-W3</v>
      </c>
      <c r="Y116" s="9" t="str">
        <f t="shared" si="9"/>
        <v>CF013</v>
      </c>
      <c r="Z116" s="9">
        <f t="shared" si="9"/>
        <v>0</v>
      </c>
      <c r="AA116" s="9">
        <f t="shared" si="9"/>
        <v>0</v>
      </c>
      <c r="AB116" s="9">
        <f t="shared" si="9"/>
        <v>0</v>
      </c>
      <c r="AC116" s="9">
        <f t="shared" si="9"/>
        <v>1</v>
      </c>
      <c r="AD116" s="9" t="str">
        <f t="shared" si="9"/>
        <v>pcs</v>
      </c>
      <c r="AE116" s="9">
        <f t="shared" si="10"/>
        <v>0</v>
      </c>
      <c r="AF116" s="9" t="str">
        <f>E73</f>
        <v>O-25035</v>
      </c>
      <c r="AG116" s="9" t="str">
        <f>E74</f>
        <v>Jad Abi Rizk</v>
      </c>
      <c r="AH116" s="9" t="str">
        <f t="shared" si="11"/>
        <v>TECHNAL FXI</v>
      </c>
      <c r="AI116" s="9" t="str">
        <f>E78</f>
        <v>32 mm</v>
      </c>
      <c r="AJ116" s="9">
        <f>E82</f>
        <v>1</v>
      </c>
      <c r="AK116" s="9">
        <f>E81</f>
        <v>0</v>
      </c>
      <c r="AL116" s="9" t="s">
        <v>57</v>
      </c>
    </row>
    <row r="117" spans="1:38" s="44" customFormat="1" ht="15.6" customHeight="1" x14ac:dyDescent="0.2">
      <c r="A117" s="51">
        <v>9</v>
      </c>
      <c r="B117" s="61"/>
      <c r="C117" s="47" t="str">
        <f>E76</f>
        <v>TECHNAL FXI</v>
      </c>
      <c r="D117" s="48"/>
      <c r="E117" s="39" t="s">
        <v>74</v>
      </c>
      <c r="F117" s="39"/>
      <c r="G117" s="39"/>
      <c r="H117" s="51"/>
      <c r="I117" s="39">
        <f>1*E79</f>
        <v>1</v>
      </c>
      <c r="J117" s="39" t="s">
        <v>65</v>
      </c>
      <c r="K117" s="62"/>
      <c r="L117" s="64"/>
      <c r="M117" s="65"/>
      <c r="N117" s="5"/>
      <c r="O117" s="5"/>
      <c r="P117" s="5"/>
      <c r="Q117" s="5"/>
      <c r="R117" s="5"/>
      <c r="S117" s="5"/>
      <c r="T117" s="5"/>
      <c r="U117" s="5"/>
      <c r="V117" s="35" t="s">
        <v>66</v>
      </c>
      <c r="W117" s="9" t="str">
        <f>E80</f>
        <v>AJO 26 - 006</v>
      </c>
      <c r="X117" s="9" t="str">
        <f>D83&amp;"-"&amp;E83</f>
        <v>1-A2-W3</v>
      </c>
      <c r="Y117" s="9" t="str">
        <f t="shared" si="9"/>
        <v>KF030</v>
      </c>
      <c r="Z117" s="9">
        <f t="shared" si="9"/>
        <v>0</v>
      </c>
      <c r="AA117" s="9">
        <f t="shared" si="9"/>
        <v>0</v>
      </c>
      <c r="AB117" s="9">
        <f t="shared" si="9"/>
        <v>0</v>
      </c>
      <c r="AC117" s="9">
        <f t="shared" si="9"/>
        <v>1</v>
      </c>
      <c r="AD117" s="9" t="str">
        <f t="shared" si="9"/>
        <v>pcs</v>
      </c>
      <c r="AE117" s="9">
        <f t="shared" si="10"/>
        <v>0</v>
      </c>
      <c r="AF117" s="9" t="str">
        <f>E73</f>
        <v>O-25035</v>
      </c>
      <c r="AG117" s="9" t="str">
        <f>E74</f>
        <v>Jad Abi Rizk</v>
      </c>
      <c r="AH117" s="9" t="str">
        <f t="shared" si="11"/>
        <v>TECHNAL FXI</v>
      </c>
      <c r="AI117" s="9" t="str">
        <f>E78</f>
        <v>32 mm</v>
      </c>
      <c r="AJ117" s="9">
        <f>E82</f>
        <v>1</v>
      </c>
      <c r="AK117" s="9">
        <f>E81</f>
        <v>0</v>
      </c>
      <c r="AL117" s="9">
        <f>M78</f>
        <v>500</v>
      </c>
    </row>
    <row r="118" spans="1:38" s="44" customFormat="1" ht="15.6" customHeight="1" x14ac:dyDescent="0.2">
      <c r="A118" s="51">
        <v>10</v>
      </c>
      <c r="B118" s="61"/>
      <c r="C118" s="47" t="str">
        <f>E76</f>
        <v>TECHNAL FXI</v>
      </c>
      <c r="D118" s="48"/>
      <c r="E118" s="39" t="s">
        <v>75</v>
      </c>
      <c r="F118" s="39"/>
      <c r="G118" s="66"/>
      <c r="H118" s="66"/>
      <c r="I118" s="66">
        <f>(2*I76+2*M72)*E79</f>
        <v>4232</v>
      </c>
      <c r="J118" s="39" t="s">
        <v>8</v>
      </c>
      <c r="K118" s="62"/>
      <c r="L118" s="64"/>
      <c r="M118" s="37"/>
      <c r="N118" s="37"/>
      <c r="O118" s="5"/>
      <c r="P118" s="5"/>
      <c r="Q118" s="5"/>
      <c r="R118" s="5"/>
      <c r="S118" s="5"/>
      <c r="T118" s="5"/>
      <c r="U118" s="5"/>
      <c r="V118" s="35" t="s">
        <v>66</v>
      </c>
      <c r="W118" s="9" t="str">
        <f>E80</f>
        <v>AJO 26 - 006</v>
      </c>
      <c r="X118" s="9" t="str">
        <f>D83&amp;"-"&amp;E83</f>
        <v>1-A2-W3</v>
      </c>
      <c r="Y118" s="9" t="str">
        <f t="shared" si="9"/>
        <v>JF001</v>
      </c>
      <c r="Z118" s="9">
        <f t="shared" si="9"/>
        <v>0</v>
      </c>
      <c r="AA118" s="9">
        <f t="shared" si="9"/>
        <v>0</v>
      </c>
      <c r="AB118" s="9">
        <f t="shared" si="9"/>
        <v>0</v>
      </c>
      <c r="AC118" s="9">
        <f t="shared" si="9"/>
        <v>4232</v>
      </c>
      <c r="AD118" s="9" t="str">
        <f t="shared" si="9"/>
        <v>mm</v>
      </c>
      <c r="AE118" s="9">
        <f t="shared" si="10"/>
        <v>0</v>
      </c>
      <c r="AF118" s="9" t="str">
        <f>E73</f>
        <v>O-25035</v>
      </c>
      <c r="AG118" s="9" t="str">
        <f>E74</f>
        <v>Jad Abi Rizk</v>
      </c>
      <c r="AH118" s="9" t="str">
        <f t="shared" si="11"/>
        <v>TECHNAL FXI</v>
      </c>
      <c r="AI118" s="9" t="str">
        <f>E78</f>
        <v>32 mm</v>
      </c>
      <c r="AJ118" s="9">
        <f>E82</f>
        <v>1</v>
      </c>
      <c r="AK118" s="9">
        <f>E81</f>
        <v>0</v>
      </c>
      <c r="AL118" s="9" t="s">
        <v>57</v>
      </c>
    </row>
    <row r="119" spans="1:38" s="44" customFormat="1" ht="15.6" customHeight="1" x14ac:dyDescent="0.2">
      <c r="A119" s="51">
        <v>11</v>
      </c>
      <c r="B119" s="61"/>
      <c r="C119" s="47" t="str">
        <f>E76</f>
        <v>TECHNAL FXI</v>
      </c>
      <c r="D119" s="48"/>
      <c r="E119" s="39" t="s">
        <v>76</v>
      </c>
      <c r="F119" s="39"/>
      <c r="G119" s="66"/>
      <c r="H119" s="66"/>
      <c r="I119" s="66">
        <f>(4*I76+4*M72)*E79</f>
        <v>8464</v>
      </c>
      <c r="J119" s="39" t="s">
        <v>8</v>
      </c>
      <c r="K119" s="62"/>
      <c r="L119" s="64"/>
      <c r="M119" s="5"/>
      <c r="N119" s="5"/>
      <c r="O119" s="5"/>
      <c r="P119" s="5"/>
      <c r="Q119" s="5"/>
      <c r="R119" s="5"/>
      <c r="S119" s="5"/>
      <c r="T119" s="5"/>
      <c r="U119" s="5"/>
      <c r="V119" s="35" t="s">
        <v>66</v>
      </c>
      <c r="W119" s="9" t="str">
        <f>E80</f>
        <v>AJO 26 - 006</v>
      </c>
      <c r="X119" s="9" t="str">
        <f>D83&amp;"-"&amp;E83</f>
        <v>1-A2-W3</v>
      </c>
      <c r="Y119" s="9" t="str">
        <f t="shared" si="9"/>
        <v>JF002</v>
      </c>
      <c r="Z119" s="9">
        <f t="shared" si="9"/>
        <v>0</v>
      </c>
      <c r="AA119" s="9">
        <f t="shared" si="9"/>
        <v>0</v>
      </c>
      <c r="AB119" s="9">
        <f t="shared" si="9"/>
        <v>0</v>
      </c>
      <c r="AC119" s="9">
        <f t="shared" si="9"/>
        <v>8464</v>
      </c>
      <c r="AD119" s="9" t="str">
        <f t="shared" si="9"/>
        <v>mm</v>
      </c>
      <c r="AE119" s="9">
        <f t="shared" si="10"/>
        <v>0</v>
      </c>
      <c r="AF119" s="9" t="str">
        <f>E73</f>
        <v>O-25035</v>
      </c>
      <c r="AG119" s="9" t="str">
        <f>E74</f>
        <v>Jad Abi Rizk</v>
      </c>
      <c r="AH119" s="9" t="str">
        <f t="shared" si="11"/>
        <v>TECHNAL FXI</v>
      </c>
      <c r="AI119" s="9" t="str">
        <f>E78</f>
        <v>32 mm</v>
      </c>
      <c r="AJ119" s="9">
        <f>E82</f>
        <v>1</v>
      </c>
      <c r="AK119" s="9">
        <f>E81</f>
        <v>0</v>
      </c>
      <c r="AL119" s="9" t="s">
        <v>57</v>
      </c>
    </row>
    <row r="120" spans="1:38" s="44" customFormat="1" ht="15.6" customHeight="1" x14ac:dyDescent="0.2">
      <c r="A120" s="51">
        <v>12</v>
      </c>
      <c r="B120" s="61"/>
      <c r="C120" s="47" t="str">
        <f>E76</f>
        <v>TECHNAL FXI</v>
      </c>
      <c r="D120" s="48"/>
      <c r="E120" s="39" t="s">
        <v>77</v>
      </c>
      <c r="F120" s="39"/>
      <c r="G120" s="66"/>
      <c r="H120" s="66"/>
      <c r="I120" s="66">
        <f>(2*I76+2*M72)*E79</f>
        <v>4232</v>
      </c>
      <c r="J120" s="39" t="s">
        <v>8</v>
      </c>
      <c r="K120" s="62"/>
      <c r="L120" s="64"/>
      <c r="M120" s="37"/>
      <c r="N120" s="37"/>
      <c r="O120" s="5"/>
      <c r="P120" s="5"/>
      <c r="Q120" s="5"/>
      <c r="R120" s="5"/>
      <c r="S120" s="5"/>
      <c r="T120" s="5"/>
      <c r="U120" s="5"/>
      <c r="V120" s="35" t="s">
        <v>66</v>
      </c>
      <c r="W120" s="9" t="str">
        <f>E80</f>
        <v>AJO 26 - 006</v>
      </c>
      <c r="X120" s="9" t="str">
        <f>D83&amp;"-"&amp;E83</f>
        <v>1-A2-W3</v>
      </c>
      <c r="Y120" s="9" t="str">
        <f t="shared" si="9"/>
        <v>JF005</v>
      </c>
      <c r="Z120" s="9">
        <f t="shared" si="9"/>
        <v>0</v>
      </c>
      <c r="AA120" s="9">
        <f t="shared" si="9"/>
        <v>0</v>
      </c>
      <c r="AB120" s="9">
        <f t="shared" si="9"/>
        <v>0</v>
      </c>
      <c r="AC120" s="9">
        <f t="shared" si="9"/>
        <v>4232</v>
      </c>
      <c r="AD120" s="9" t="str">
        <f t="shared" si="9"/>
        <v>mm</v>
      </c>
      <c r="AE120" s="9">
        <f t="shared" si="10"/>
        <v>0</v>
      </c>
      <c r="AF120" s="9" t="str">
        <f>E73</f>
        <v>O-25035</v>
      </c>
      <c r="AG120" s="9" t="str">
        <f>E74</f>
        <v>Jad Abi Rizk</v>
      </c>
      <c r="AH120" s="9" t="str">
        <f t="shared" si="11"/>
        <v>TECHNAL FXI</v>
      </c>
      <c r="AI120" s="9" t="str">
        <f>E78</f>
        <v>32 mm</v>
      </c>
      <c r="AJ120" s="9">
        <f>E82</f>
        <v>1</v>
      </c>
      <c r="AK120" s="9">
        <f>E81</f>
        <v>0</v>
      </c>
      <c r="AL120" s="9" t="s">
        <v>57</v>
      </c>
    </row>
    <row r="121" spans="1:38" s="44" customFormat="1" ht="15.6" customHeight="1" x14ac:dyDescent="0.2">
      <c r="A121" s="51">
        <v>13</v>
      </c>
      <c r="B121" s="61"/>
      <c r="C121" s="47" t="str">
        <f>E76</f>
        <v>TECHNAL FXI</v>
      </c>
      <c r="D121" s="48"/>
      <c r="E121" s="39">
        <v>1472</v>
      </c>
      <c r="F121" s="39"/>
      <c r="G121" s="66"/>
      <c r="H121" s="66"/>
      <c r="I121" s="66">
        <f>2*E79</f>
        <v>2</v>
      </c>
      <c r="J121" s="39" t="s">
        <v>65</v>
      </c>
      <c r="K121" s="62"/>
      <c r="L121" s="64"/>
      <c r="M121" s="37"/>
      <c r="N121" s="37"/>
      <c r="O121" s="5"/>
      <c r="P121" s="5"/>
      <c r="Q121" s="5"/>
      <c r="R121" s="5"/>
      <c r="S121" s="5"/>
      <c r="T121" s="5"/>
      <c r="U121" s="5"/>
      <c r="V121" s="35" t="s">
        <v>66</v>
      </c>
      <c r="W121" s="9" t="str">
        <f>E80</f>
        <v>AJO 26 - 006</v>
      </c>
      <c r="X121" s="9" t="str">
        <f>D83&amp;"-"&amp;E83</f>
        <v>1-A2-W3</v>
      </c>
      <c r="Y121" s="9">
        <f t="shared" si="9"/>
        <v>1472</v>
      </c>
      <c r="Z121" s="9">
        <f t="shared" si="9"/>
        <v>0</v>
      </c>
      <c r="AA121" s="9">
        <f t="shared" si="9"/>
        <v>0</v>
      </c>
      <c r="AB121" s="9">
        <f t="shared" si="9"/>
        <v>0</v>
      </c>
      <c r="AC121" s="9">
        <f t="shared" si="9"/>
        <v>2</v>
      </c>
      <c r="AD121" s="9" t="str">
        <f t="shared" si="9"/>
        <v>pcs</v>
      </c>
      <c r="AE121" s="9">
        <f t="shared" si="10"/>
        <v>0</v>
      </c>
      <c r="AF121" s="9" t="str">
        <f>E73</f>
        <v>O-25035</v>
      </c>
      <c r="AG121" s="9" t="str">
        <f>E74</f>
        <v>Jad Abi Rizk</v>
      </c>
      <c r="AH121" s="9" t="str">
        <f t="shared" si="11"/>
        <v>TECHNAL FXI</v>
      </c>
      <c r="AI121" s="9" t="str">
        <f>E78</f>
        <v>32 mm</v>
      </c>
      <c r="AJ121" s="9">
        <f>E82</f>
        <v>1</v>
      </c>
      <c r="AK121" s="9">
        <f>E81</f>
        <v>0</v>
      </c>
      <c r="AL121" s="9" t="s">
        <v>57</v>
      </c>
    </row>
    <row r="122" spans="1:38" s="44" customFormat="1" ht="15.6" customHeight="1" x14ac:dyDescent="0.2">
      <c r="A122" s="51">
        <v>14</v>
      </c>
      <c r="B122" s="61"/>
      <c r="C122" s="65" t="s">
        <v>78</v>
      </c>
      <c r="D122" s="48"/>
      <c r="E122" s="39" t="s">
        <v>79</v>
      </c>
      <c r="F122" s="39"/>
      <c r="G122" s="66"/>
      <c r="H122" s="66"/>
      <c r="I122" s="66">
        <f>IF(M122=1,1*E79,0*E79)</f>
        <v>0</v>
      </c>
      <c r="J122" s="39" t="s">
        <v>65</v>
      </c>
      <c r="K122" s="62"/>
      <c r="L122" s="64"/>
      <c r="M122" s="5"/>
      <c r="N122" s="5" t="s">
        <v>80</v>
      </c>
      <c r="O122" s="5"/>
      <c r="P122" s="5"/>
      <c r="Q122" s="5"/>
      <c r="R122" s="5"/>
      <c r="S122" s="5"/>
      <c r="T122" s="5"/>
      <c r="U122" s="5"/>
      <c r="V122" s="35" t="s">
        <v>66</v>
      </c>
      <c r="W122" s="9" t="str">
        <f>E80</f>
        <v>AJO 26 - 006</v>
      </c>
      <c r="X122" s="9" t="str">
        <f>D83&amp;"-"&amp;E83</f>
        <v>1-A2-W3</v>
      </c>
      <c r="Y122" s="9" t="str">
        <f t="shared" si="9"/>
        <v>KF045</v>
      </c>
      <c r="Z122" s="9">
        <f t="shared" si="9"/>
        <v>0</v>
      </c>
      <c r="AA122" s="9">
        <f t="shared" si="9"/>
        <v>0</v>
      </c>
      <c r="AB122" s="9">
        <f t="shared" si="9"/>
        <v>0</v>
      </c>
      <c r="AC122" s="9">
        <f t="shared" si="9"/>
        <v>0</v>
      </c>
      <c r="AD122" s="9" t="str">
        <f t="shared" si="9"/>
        <v>pcs</v>
      </c>
      <c r="AE122" s="9">
        <f t="shared" si="10"/>
        <v>0</v>
      </c>
      <c r="AF122" s="9" t="str">
        <f>E73</f>
        <v>O-25035</v>
      </c>
      <c r="AG122" s="9" t="str">
        <f>E74</f>
        <v>Jad Abi Rizk</v>
      </c>
      <c r="AH122" s="9" t="str">
        <f t="shared" si="11"/>
        <v>Compas Securite</v>
      </c>
      <c r="AI122" s="9" t="str">
        <f>E78</f>
        <v>32 mm</v>
      </c>
      <c r="AJ122" s="9">
        <f>E82</f>
        <v>1</v>
      </c>
      <c r="AK122" s="9">
        <f>E81</f>
        <v>0</v>
      </c>
      <c r="AL122" s="9" t="s">
        <v>57</v>
      </c>
    </row>
    <row r="123" spans="1:38" s="44" customFormat="1" ht="15.6" customHeight="1" x14ac:dyDescent="0.2">
      <c r="A123" s="51">
        <v>15</v>
      </c>
      <c r="B123" s="61"/>
      <c r="C123" s="47" t="str">
        <f>E76</f>
        <v>TECHNAL FXI</v>
      </c>
      <c r="D123" s="48"/>
      <c r="E123" s="39">
        <v>1112</v>
      </c>
      <c r="F123" s="39"/>
      <c r="G123" s="66"/>
      <c r="H123" s="66"/>
      <c r="I123" s="66">
        <f>IF(M123=1,0,(I90*G90+I91*G91+I92*G92+I93*G93)/1000*3)</f>
        <v>9.3990000000000009</v>
      </c>
      <c r="J123" s="39" t="s">
        <v>65</v>
      </c>
      <c r="K123" s="62"/>
      <c r="L123" s="64"/>
      <c r="M123" s="67">
        <v>0</v>
      </c>
      <c r="N123" s="68" t="s">
        <v>81</v>
      </c>
      <c r="O123" s="5"/>
      <c r="P123" s="5"/>
      <c r="Q123" s="5"/>
      <c r="R123" s="5"/>
      <c r="S123" s="5"/>
      <c r="T123" s="5"/>
      <c r="U123" s="5"/>
      <c r="V123" s="35" t="s">
        <v>66</v>
      </c>
      <c r="W123" s="9" t="str">
        <f>E80</f>
        <v>AJO 26 - 006</v>
      </c>
      <c r="X123" s="9" t="str">
        <f>D83&amp;"-"&amp;E83</f>
        <v>1-A2-W3</v>
      </c>
      <c r="Y123" s="9">
        <f t="shared" si="9"/>
        <v>1112</v>
      </c>
      <c r="Z123" s="9">
        <f t="shared" si="9"/>
        <v>0</v>
      </c>
      <c r="AA123" s="9">
        <f t="shared" si="9"/>
        <v>0</v>
      </c>
      <c r="AB123" s="9">
        <f t="shared" si="9"/>
        <v>0</v>
      </c>
      <c r="AC123" s="9">
        <f t="shared" si="9"/>
        <v>9.3990000000000009</v>
      </c>
      <c r="AD123" s="9" t="str">
        <f t="shared" si="9"/>
        <v>pcs</v>
      </c>
      <c r="AE123" s="9">
        <f t="shared" si="10"/>
        <v>0</v>
      </c>
      <c r="AF123" s="9" t="str">
        <f>E73</f>
        <v>O-25035</v>
      </c>
      <c r="AG123" s="9" t="str">
        <f>E74</f>
        <v>Jad Abi Rizk</v>
      </c>
      <c r="AH123" s="9" t="str">
        <f t="shared" si="11"/>
        <v>TECHNAL FXI</v>
      </c>
      <c r="AI123" s="9" t="str">
        <f>E78</f>
        <v>32 mm</v>
      </c>
      <c r="AJ123" s="9">
        <f>E82</f>
        <v>1</v>
      </c>
      <c r="AK123" s="9">
        <f>E81</f>
        <v>0</v>
      </c>
      <c r="AL123" s="9" t="s">
        <v>57</v>
      </c>
    </row>
    <row r="124" spans="1:38" s="44" customFormat="1" ht="15.6" customHeight="1" x14ac:dyDescent="0.2">
      <c r="A124" s="51">
        <v>16</v>
      </c>
      <c r="B124" s="61"/>
      <c r="C124" s="47" t="str">
        <f>E76</f>
        <v>TECHNAL FXI</v>
      </c>
      <c r="D124" s="48"/>
      <c r="E124" s="39">
        <v>2649</v>
      </c>
      <c r="F124" s="39"/>
      <c r="G124" s="66"/>
      <c r="H124" s="66"/>
      <c r="I124" s="66">
        <f>IF(M94=0,(I94*G94+I95*G95)/1000*5,0)</f>
        <v>0</v>
      </c>
      <c r="J124" s="39" t="s">
        <v>65</v>
      </c>
      <c r="K124" s="69"/>
      <c r="L124" s="70"/>
      <c r="M124" s="37"/>
      <c r="N124" s="37"/>
      <c r="O124" s="5"/>
      <c r="P124" s="5"/>
      <c r="Q124" s="5"/>
      <c r="R124" s="5"/>
      <c r="S124" s="5"/>
      <c r="T124" s="5"/>
      <c r="U124" s="5"/>
      <c r="V124" s="35" t="s">
        <v>66</v>
      </c>
      <c r="W124" s="9" t="str">
        <f>E80</f>
        <v>AJO 26 - 006</v>
      </c>
      <c r="X124" s="9" t="str">
        <f>D83&amp;"-"&amp;E83</f>
        <v>1-A2-W3</v>
      </c>
      <c r="Y124" s="9">
        <f t="shared" si="9"/>
        <v>2649</v>
      </c>
      <c r="Z124" s="9">
        <f t="shared" si="9"/>
        <v>0</v>
      </c>
      <c r="AA124" s="9">
        <f t="shared" si="9"/>
        <v>0</v>
      </c>
      <c r="AB124" s="9">
        <f t="shared" si="9"/>
        <v>0</v>
      </c>
      <c r="AC124" s="9">
        <f t="shared" si="9"/>
        <v>0</v>
      </c>
      <c r="AD124" s="9" t="str">
        <f t="shared" si="9"/>
        <v>pcs</v>
      </c>
      <c r="AE124" s="9">
        <f t="shared" si="10"/>
        <v>0</v>
      </c>
      <c r="AF124" s="9" t="str">
        <f>E73</f>
        <v>O-25035</v>
      </c>
      <c r="AG124" s="9" t="str">
        <f>E74</f>
        <v>Jad Abi Rizk</v>
      </c>
      <c r="AH124" s="9" t="str">
        <f t="shared" si="11"/>
        <v>TECHNAL FXI</v>
      </c>
      <c r="AI124" s="9" t="str">
        <f>E78</f>
        <v>32 mm</v>
      </c>
      <c r="AJ124" s="9">
        <f>E82</f>
        <v>1</v>
      </c>
      <c r="AK124" s="9">
        <f>E81</f>
        <v>0</v>
      </c>
      <c r="AL124" s="9" t="s">
        <v>57</v>
      </c>
    </row>
    <row r="125" spans="1:38" s="44" customFormat="1" ht="15.6" customHeight="1" x14ac:dyDescent="0.2">
      <c r="A125" s="51">
        <v>17</v>
      </c>
      <c r="B125" s="61"/>
      <c r="C125" s="47" t="str">
        <f>E76</f>
        <v>TECHNAL FXI</v>
      </c>
      <c r="D125" s="48"/>
      <c r="E125" s="39" t="s">
        <v>82</v>
      </c>
      <c r="F125" s="39"/>
      <c r="G125" s="39"/>
      <c r="H125" s="51"/>
      <c r="I125" s="39">
        <f>4*E79</f>
        <v>4</v>
      </c>
      <c r="J125" s="39" t="s">
        <v>65</v>
      </c>
      <c r="K125" s="69"/>
      <c r="L125" s="70"/>
      <c r="M125" s="37"/>
      <c r="N125" s="37"/>
      <c r="O125" s="5"/>
      <c r="P125" s="5"/>
      <c r="Q125" s="5"/>
      <c r="R125" s="5"/>
      <c r="S125" s="5"/>
      <c r="T125" s="5"/>
      <c r="U125" s="5"/>
      <c r="V125" s="35" t="s">
        <v>66</v>
      </c>
      <c r="W125" s="35" t="str">
        <f>E80</f>
        <v>AJO 26 - 006</v>
      </c>
      <c r="X125" s="9" t="str">
        <f>D83&amp;"-"&amp;E83</f>
        <v>1-A2-W3</v>
      </c>
      <c r="Y125" s="35" t="str">
        <f t="shared" si="9"/>
        <v>EE012</v>
      </c>
      <c r="Z125" s="35">
        <f t="shared" si="9"/>
        <v>0</v>
      </c>
      <c r="AA125" s="35">
        <f t="shared" si="9"/>
        <v>0</v>
      </c>
      <c r="AB125" s="35">
        <f t="shared" si="9"/>
        <v>0</v>
      </c>
      <c r="AC125" s="9">
        <f t="shared" si="9"/>
        <v>4</v>
      </c>
      <c r="AD125" s="35" t="str">
        <f t="shared" si="9"/>
        <v>pcs</v>
      </c>
      <c r="AE125" s="35">
        <f t="shared" si="10"/>
        <v>0</v>
      </c>
      <c r="AF125" s="35" t="str">
        <f>E73</f>
        <v>O-25035</v>
      </c>
      <c r="AG125" s="35" t="str">
        <f>E74</f>
        <v>Jad Abi Rizk</v>
      </c>
      <c r="AH125" s="35" t="str">
        <f t="shared" si="11"/>
        <v>TECHNAL FXI</v>
      </c>
      <c r="AI125" s="35" t="str">
        <f>E78</f>
        <v>32 mm</v>
      </c>
      <c r="AJ125" s="35">
        <f>E82</f>
        <v>1</v>
      </c>
      <c r="AK125" s="35">
        <f>E81</f>
        <v>0</v>
      </c>
      <c r="AL125" s="9" t="s">
        <v>57</v>
      </c>
    </row>
    <row r="126" spans="1:38" s="44" customFormat="1" ht="15.6" hidden="1" customHeight="1" x14ac:dyDescent="0.2">
      <c r="A126" s="5"/>
      <c r="B126" s="71"/>
      <c r="C126" s="5"/>
      <c r="D126" s="55"/>
      <c r="E126" s="10"/>
      <c r="F126" s="10"/>
      <c r="G126" s="10"/>
      <c r="H126" s="10"/>
      <c r="I126" s="5"/>
      <c r="J126" s="5"/>
      <c r="K126" s="55"/>
      <c r="L126" s="55"/>
      <c r="M126" s="5"/>
      <c r="N126" s="5"/>
      <c r="O126" s="5"/>
      <c r="P126" s="5"/>
      <c r="Q126" s="5"/>
      <c r="R126" s="5"/>
      <c r="S126" s="5"/>
      <c r="T126" s="5"/>
      <c r="U126" s="5"/>
      <c r="V126" s="35" t="s">
        <v>66</v>
      </c>
      <c r="W126" s="9" t="str">
        <f>E80</f>
        <v>AJO 26 - 006</v>
      </c>
      <c r="X126" s="9" t="str">
        <f>D83&amp;"-"&amp;E83</f>
        <v>1-A2-W3</v>
      </c>
      <c r="Y126" s="9">
        <f t="shared" si="9"/>
        <v>0</v>
      </c>
      <c r="Z126" s="9">
        <f t="shared" si="9"/>
        <v>0</v>
      </c>
      <c r="AA126" s="9">
        <f t="shared" si="9"/>
        <v>0</v>
      </c>
      <c r="AB126" s="9">
        <f t="shared" si="9"/>
        <v>0</v>
      </c>
      <c r="AC126" s="9">
        <f t="shared" si="9"/>
        <v>0</v>
      </c>
      <c r="AD126" s="9">
        <f t="shared" si="9"/>
        <v>0</v>
      </c>
      <c r="AE126" s="9">
        <f t="shared" si="10"/>
        <v>0</v>
      </c>
      <c r="AF126" s="9" t="str">
        <f>E73</f>
        <v>O-25035</v>
      </c>
      <c r="AG126" s="9" t="str">
        <f>E74</f>
        <v>Jad Abi Rizk</v>
      </c>
      <c r="AH126" s="9">
        <f t="shared" si="11"/>
        <v>0</v>
      </c>
      <c r="AI126" s="9" t="str">
        <f>E78</f>
        <v>32 mm</v>
      </c>
      <c r="AJ126" s="9">
        <f>E82</f>
        <v>1</v>
      </c>
      <c r="AK126" s="9">
        <f>E81</f>
        <v>0</v>
      </c>
      <c r="AL126" s="9" t="s">
        <v>57</v>
      </c>
    </row>
    <row r="127" spans="1:38" s="44" customFormat="1" ht="15.6" hidden="1" customHeight="1" x14ac:dyDescent="0.2">
      <c r="A127" s="5"/>
      <c r="B127" s="71"/>
      <c r="C127" s="5"/>
      <c r="D127" s="55"/>
      <c r="E127" s="10"/>
      <c r="F127" s="10"/>
      <c r="G127" s="10"/>
      <c r="H127" s="10"/>
      <c r="I127" s="5"/>
      <c r="J127" s="5"/>
      <c r="K127" s="55"/>
      <c r="L127" s="55"/>
      <c r="M127" s="5"/>
      <c r="N127" s="5"/>
      <c r="O127" s="5"/>
      <c r="P127" s="5"/>
      <c r="Q127" s="5"/>
      <c r="R127" s="5"/>
      <c r="S127" s="5"/>
      <c r="T127" s="5"/>
      <c r="U127" s="5"/>
      <c r="V127" s="35" t="s">
        <v>66</v>
      </c>
      <c r="W127" s="35" t="str">
        <f>E80</f>
        <v>AJO 26 - 006</v>
      </c>
      <c r="X127" s="9" t="str">
        <f>D83&amp;"-"&amp;E83</f>
        <v>1-A2-W3</v>
      </c>
      <c r="Y127" s="35">
        <f t="shared" si="9"/>
        <v>0</v>
      </c>
      <c r="Z127" s="35">
        <f t="shared" si="9"/>
        <v>0</v>
      </c>
      <c r="AA127" s="35">
        <f t="shared" si="9"/>
        <v>0</v>
      </c>
      <c r="AB127" s="35">
        <f t="shared" si="9"/>
        <v>0</v>
      </c>
      <c r="AC127" s="9">
        <f t="shared" si="9"/>
        <v>0</v>
      </c>
      <c r="AD127" s="35">
        <f t="shared" si="9"/>
        <v>0</v>
      </c>
      <c r="AE127" s="35">
        <f t="shared" si="10"/>
        <v>0</v>
      </c>
      <c r="AF127" s="35" t="str">
        <f>E73</f>
        <v>O-25035</v>
      </c>
      <c r="AG127" s="35" t="str">
        <f>E74</f>
        <v>Jad Abi Rizk</v>
      </c>
      <c r="AH127" s="35">
        <f t="shared" si="11"/>
        <v>0</v>
      </c>
      <c r="AI127" s="35" t="str">
        <f>E78</f>
        <v>32 mm</v>
      </c>
      <c r="AJ127" s="35">
        <f>E82</f>
        <v>1</v>
      </c>
      <c r="AK127" s="35">
        <f>E81</f>
        <v>0</v>
      </c>
      <c r="AL127" s="9" t="s">
        <v>57</v>
      </c>
    </row>
    <row r="128" spans="1:38" s="44" customFormat="1" ht="15.6" hidden="1" customHeight="1" x14ac:dyDescent="0.2">
      <c r="A128" s="5"/>
      <c r="B128" s="71"/>
      <c r="C128" s="5"/>
      <c r="D128" s="55"/>
      <c r="E128" s="10"/>
      <c r="F128" s="10"/>
      <c r="G128" s="10"/>
      <c r="H128" s="10"/>
      <c r="I128" s="5"/>
      <c r="J128" s="5"/>
      <c r="K128" s="55"/>
      <c r="L128" s="55"/>
      <c r="M128" s="5"/>
      <c r="N128" s="5"/>
      <c r="O128" s="5"/>
      <c r="P128" s="5"/>
      <c r="Q128" s="5"/>
      <c r="R128" s="5"/>
      <c r="S128" s="5"/>
      <c r="T128" s="5"/>
      <c r="U128" s="5"/>
      <c r="V128" s="35" t="s">
        <v>66</v>
      </c>
      <c r="W128" s="35" t="str">
        <f>E80</f>
        <v>AJO 26 - 006</v>
      </c>
      <c r="X128" s="9" t="str">
        <f>D83&amp;"-"&amp;E83</f>
        <v>1-A2-W3</v>
      </c>
      <c r="Y128" s="35">
        <f t="shared" si="9"/>
        <v>0</v>
      </c>
      <c r="Z128" s="35">
        <f t="shared" si="9"/>
        <v>0</v>
      </c>
      <c r="AA128" s="35">
        <f t="shared" si="9"/>
        <v>0</v>
      </c>
      <c r="AB128" s="35">
        <f t="shared" si="9"/>
        <v>0</v>
      </c>
      <c r="AC128" s="9">
        <f t="shared" si="9"/>
        <v>0</v>
      </c>
      <c r="AD128" s="35">
        <f t="shared" si="9"/>
        <v>0</v>
      </c>
      <c r="AE128" s="35">
        <f t="shared" si="10"/>
        <v>0</v>
      </c>
      <c r="AF128" s="35" t="str">
        <f>E73</f>
        <v>O-25035</v>
      </c>
      <c r="AG128" s="35" t="str">
        <f>E74</f>
        <v>Jad Abi Rizk</v>
      </c>
      <c r="AH128" s="35">
        <f t="shared" si="11"/>
        <v>0</v>
      </c>
      <c r="AI128" s="35" t="str">
        <f>E78</f>
        <v>32 mm</v>
      </c>
      <c r="AJ128" s="35">
        <f>E82</f>
        <v>1</v>
      </c>
      <c r="AK128" s="35">
        <f>E81</f>
        <v>0</v>
      </c>
      <c r="AL128" s="9" t="s">
        <v>57</v>
      </c>
    </row>
    <row r="129" spans="1:38" s="44" customFormat="1" ht="15.6" hidden="1" customHeight="1" x14ac:dyDescent="0.2">
      <c r="A129" s="5"/>
      <c r="B129" s="71"/>
      <c r="C129" s="5"/>
      <c r="D129" s="55"/>
      <c r="E129" s="10"/>
      <c r="F129" s="10"/>
      <c r="G129" s="10"/>
      <c r="H129" s="10"/>
      <c r="I129" s="5"/>
      <c r="J129" s="5"/>
      <c r="K129" s="55"/>
      <c r="L129" s="55"/>
      <c r="M129" s="5"/>
      <c r="N129" s="5"/>
      <c r="O129" s="5"/>
      <c r="P129" s="5"/>
      <c r="Q129" s="5"/>
      <c r="R129" s="5"/>
      <c r="S129" s="5"/>
      <c r="T129" s="5"/>
      <c r="U129" s="5"/>
      <c r="V129" s="35" t="s">
        <v>66</v>
      </c>
      <c r="W129" s="35" t="str">
        <f>E80</f>
        <v>AJO 26 - 006</v>
      </c>
      <c r="X129" s="9" t="str">
        <f>D83&amp;"-"&amp;E83</f>
        <v>1-A2-W3</v>
      </c>
      <c r="Y129" s="35">
        <f t="shared" si="9"/>
        <v>0</v>
      </c>
      <c r="Z129" s="35">
        <f t="shared" si="9"/>
        <v>0</v>
      </c>
      <c r="AA129" s="35">
        <f t="shared" si="9"/>
        <v>0</v>
      </c>
      <c r="AB129" s="35">
        <f t="shared" si="9"/>
        <v>0</v>
      </c>
      <c r="AC129" s="9">
        <f t="shared" si="9"/>
        <v>0</v>
      </c>
      <c r="AD129" s="35">
        <f t="shared" si="9"/>
        <v>0</v>
      </c>
      <c r="AE129" s="35">
        <f t="shared" si="10"/>
        <v>0</v>
      </c>
      <c r="AF129" s="35" t="str">
        <f>E73</f>
        <v>O-25035</v>
      </c>
      <c r="AG129" s="35" t="str">
        <f>E74</f>
        <v>Jad Abi Rizk</v>
      </c>
      <c r="AH129" s="35">
        <f t="shared" si="11"/>
        <v>0</v>
      </c>
      <c r="AI129" s="35" t="str">
        <f>E78</f>
        <v>32 mm</v>
      </c>
      <c r="AJ129" s="35">
        <f>E82</f>
        <v>1</v>
      </c>
      <c r="AK129" s="35">
        <f>E81</f>
        <v>0</v>
      </c>
      <c r="AL129" s="9" t="s">
        <v>57</v>
      </c>
    </row>
    <row r="130" spans="1:38" s="44" customFormat="1" ht="15.6" hidden="1" customHeight="1" x14ac:dyDescent="0.2">
      <c r="A130" s="5"/>
      <c r="B130" s="71"/>
      <c r="C130" s="5"/>
      <c r="D130" s="55"/>
      <c r="E130" s="10"/>
      <c r="F130" s="10"/>
      <c r="G130" s="10"/>
      <c r="H130" s="10"/>
      <c r="I130" s="5"/>
      <c r="J130" s="5"/>
      <c r="K130" s="55"/>
      <c r="L130" s="55"/>
      <c r="M130" s="5"/>
      <c r="N130" s="5"/>
      <c r="O130" s="5"/>
      <c r="P130" s="5"/>
      <c r="Q130" s="5"/>
      <c r="R130" s="5"/>
      <c r="S130" s="5"/>
      <c r="T130" s="5"/>
      <c r="U130" s="5"/>
      <c r="V130" s="35" t="s">
        <v>66</v>
      </c>
      <c r="W130" s="35" t="str">
        <f>E80</f>
        <v>AJO 26 - 006</v>
      </c>
      <c r="X130" s="9" t="str">
        <f>D83&amp;"-"&amp;E83</f>
        <v>1-A2-W3</v>
      </c>
      <c r="Y130" s="35">
        <f t="shared" si="9"/>
        <v>0</v>
      </c>
      <c r="Z130" s="35">
        <f t="shared" si="9"/>
        <v>0</v>
      </c>
      <c r="AA130" s="35">
        <f t="shared" si="9"/>
        <v>0</v>
      </c>
      <c r="AB130" s="35">
        <f t="shared" si="9"/>
        <v>0</v>
      </c>
      <c r="AC130" s="9">
        <f t="shared" si="9"/>
        <v>0</v>
      </c>
      <c r="AD130" s="35">
        <f t="shared" si="9"/>
        <v>0</v>
      </c>
      <c r="AE130" s="35">
        <f t="shared" si="10"/>
        <v>0</v>
      </c>
      <c r="AF130" s="35" t="str">
        <f>E73</f>
        <v>O-25035</v>
      </c>
      <c r="AG130" s="35" t="str">
        <f>E74</f>
        <v>Jad Abi Rizk</v>
      </c>
      <c r="AH130" s="35">
        <f t="shared" si="11"/>
        <v>0</v>
      </c>
      <c r="AI130" s="35" t="str">
        <f>E78</f>
        <v>32 mm</v>
      </c>
      <c r="AJ130" s="35">
        <f>E82</f>
        <v>1</v>
      </c>
      <c r="AK130" s="35">
        <f>E81</f>
        <v>0</v>
      </c>
      <c r="AL130" s="35" t="s">
        <v>57</v>
      </c>
    </row>
    <row r="131" spans="1:38" s="44" customFormat="1" ht="15.6" hidden="1" customHeight="1" x14ac:dyDescent="0.2">
      <c r="A131" s="5"/>
      <c r="B131" s="71"/>
      <c r="C131" s="5"/>
      <c r="D131" s="55"/>
      <c r="E131" s="10"/>
      <c r="F131" s="10"/>
      <c r="G131" s="10"/>
      <c r="H131" s="10"/>
      <c r="I131" s="5"/>
      <c r="J131" s="5"/>
      <c r="K131" s="55"/>
      <c r="L131" s="55"/>
      <c r="M131" s="5"/>
      <c r="N131" s="5"/>
      <c r="O131" s="5"/>
      <c r="P131" s="5"/>
      <c r="Q131" s="5"/>
      <c r="R131" s="5"/>
      <c r="S131" s="5"/>
      <c r="T131" s="5"/>
      <c r="U131" s="5"/>
      <c r="V131" s="35" t="s">
        <v>66</v>
      </c>
      <c r="W131" s="35" t="str">
        <f>E80</f>
        <v>AJO 26 - 006</v>
      </c>
      <c r="X131" s="9" t="str">
        <f>D83&amp;"-"&amp;E83</f>
        <v>1-A2-W3</v>
      </c>
      <c r="Y131" s="35">
        <f t="shared" si="9"/>
        <v>0</v>
      </c>
      <c r="Z131" s="35">
        <f t="shared" si="9"/>
        <v>0</v>
      </c>
      <c r="AA131" s="35">
        <f t="shared" si="9"/>
        <v>0</v>
      </c>
      <c r="AB131" s="35">
        <f t="shared" si="9"/>
        <v>0</v>
      </c>
      <c r="AC131" s="9">
        <f t="shared" si="9"/>
        <v>0</v>
      </c>
      <c r="AD131" s="35">
        <f t="shared" si="9"/>
        <v>0</v>
      </c>
      <c r="AE131" s="35">
        <f t="shared" si="10"/>
        <v>0</v>
      </c>
      <c r="AF131" s="35" t="str">
        <f>E73</f>
        <v>O-25035</v>
      </c>
      <c r="AG131" s="35" t="str">
        <f>E74</f>
        <v>Jad Abi Rizk</v>
      </c>
      <c r="AH131" s="35">
        <f t="shared" si="11"/>
        <v>0</v>
      </c>
      <c r="AI131" s="35" t="str">
        <f>E78</f>
        <v>32 mm</v>
      </c>
      <c r="AJ131" s="35">
        <f>E82</f>
        <v>1</v>
      </c>
      <c r="AK131" s="35">
        <f>E81</f>
        <v>0</v>
      </c>
      <c r="AL131" s="35" t="s">
        <v>57</v>
      </c>
    </row>
    <row r="132" spans="1:38" s="44" customFormat="1" ht="15.6" hidden="1" customHeight="1" x14ac:dyDescent="0.2">
      <c r="A132" s="5"/>
      <c r="B132" s="71"/>
      <c r="C132" s="5"/>
      <c r="D132" s="55"/>
      <c r="E132" s="10"/>
      <c r="F132" s="10"/>
      <c r="G132" s="10"/>
      <c r="H132" s="10"/>
      <c r="I132" s="5"/>
      <c r="J132" s="5"/>
      <c r="K132" s="55"/>
      <c r="L132" s="55"/>
      <c r="M132" s="5"/>
      <c r="N132" s="5"/>
      <c r="O132" s="5"/>
      <c r="P132" s="5"/>
      <c r="Q132" s="5"/>
      <c r="R132" s="5"/>
      <c r="S132" s="5"/>
      <c r="T132" s="5"/>
      <c r="U132" s="5"/>
      <c r="V132" s="35" t="s">
        <v>66</v>
      </c>
      <c r="W132" s="35" t="str">
        <f>E80</f>
        <v>AJO 26 - 006</v>
      </c>
      <c r="X132" s="9" t="str">
        <f>D83&amp;"-"&amp;E83</f>
        <v>1-A2-W3</v>
      </c>
      <c r="Y132" s="35">
        <f t="shared" si="9"/>
        <v>0</v>
      </c>
      <c r="Z132" s="35">
        <f t="shared" si="9"/>
        <v>0</v>
      </c>
      <c r="AA132" s="35">
        <f t="shared" si="9"/>
        <v>0</v>
      </c>
      <c r="AB132" s="35">
        <f t="shared" si="9"/>
        <v>0</v>
      </c>
      <c r="AC132" s="9">
        <f t="shared" si="9"/>
        <v>0</v>
      </c>
      <c r="AD132" s="35">
        <f t="shared" si="9"/>
        <v>0</v>
      </c>
      <c r="AE132" s="35">
        <f t="shared" si="10"/>
        <v>0</v>
      </c>
      <c r="AF132" s="35" t="str">
        <f>E73</f>
        <v>O-25035</v>
      </c>
      <c r="AG132" s="35" t="str">
        <f>E74</f>
        <v>Jad Abi Rizk</v>
      </c>
      <c r="AH132" s="35">
        <f t="shared" si="11"/>
        <v>0</v>
      </c>
      <c r="AI132" s="35" t="str">
        <f>E78</f>
        <v>32 mm</v>
      </c>
      <c r="AJ132" s="35">
        <f>E82</f>
        <v>1</v>
      </c>
      <c r="AK132" s="35">
        <f>E81</f>
        <v>0</v>
      </c>
      <c r="AL132" s="9" t="s">
        <v>57</v>
      </c>
    </row>
    <row r="133" spans="1:38" s="44" customFormat="1" ht="15.6" hidden="1" customHeight="1" x14ac:dyDescent="0.25">
      <c r="A133" s="5"/>
      <c r="B133" s="71"/>
      <c r="C133" s="5"/>
      <c r="D133" s="55"/>
      <c r="E133" s="10"/>
      <c r="F133" s="10"/>
      <c r="G133" s="10"/>
      <c r="H133" s="10"/>
      <c r="I133" s="5"/>
      <c r="J133" s="5"/>
      <c r="K133" s="55"/>
      <c r="L133" s="55"/>
      <c r="M133" s="5"/>
      <c r="N133" s="5"/>
      <c r="O133" s="5"/>
      <c r="P133" s="5"/>
      <c r="Q133" s="5"/>
      <c r="R133" s="5"/>
      <c r="S133" s="5"/>
      <c r="T133" s="5"/>
      <c r="U133" s="5"/>
      <c r="V133" s="55"/>
      <c r="W133" s="55"/>
      <c r="X133" s="55"/>
      <c r="Y133" s="55"/>
      <c r="Z133" s="55"/>
      <c r="AA133" s="55"/>
      <c r="AB133" s="55"/>
      <c r="AC133" s="55"/>
      <c r="AD133" s="55"/>
      <c r="AE133" s="56"/>
      <c r="AF133" s="56"/>
      <c r="AG133" s="56"/>
      <c r="AH133" s="56"/>
      <c r="AI133" s="56"/>
      <c r="AJ133" s="56"/>
      <c r="AK133" s="56"/>
      <c r="AL133" s="56"/>
    </row>
    <row r="134" spans="1:38" s="44" customFormat="1" ht="15.6" hidden="1" customHeight="1" x14ac:dyDescent="0.25">
      <c r="A134" s="5"/>
      <c r="B134" s="71"/>
      <c r="C134" s="5"/>
      <c r="D134" s="55"/>
      <c r="E134" s="10"/>
      <c r="F134" s="10"/>
      <c r="G134" s="10"/>
      <c r="H134" s="10"/>
      <c r="I134" s="5"/>
      <c r="J134" s="5"/>
      <c r="K134" s="55"/>
      <c r="L134" s="55"/>
      <c r="M134" s="5"/>
      <c r="N134" s="5"/>
      <c r="O134" s="5"/>
      <c r="P134" s="5"/>
      <c r="Q134" s="5"/>
      <c r="R134" s="5"/>
      <c r="S134" s="5"/>
      <c r="T134" s="5"/>
      <c r="U134" s="5"/>
      <c r="V134" s="55"/>
      <c r="W134" s="55"/>
      <c r="X134" s="55"/>
      <c r="Y134" s="55"/>
      <c r="Z134" s="55"/>
      <c r="AA134" s="55"/>
      <c r="AB134" s="55"/>
      <c r="AC134" s="9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spans="1:38" s="59" customFormat="1" ht="29.25" customHeight="1" x14ac:dyDescent="0.25">
      <c r="A135" s="9"/>
      <c r="B135" s="2"/>
      <c r="C135" s="2" t="s">
        <v>83</v>
      </c>
      <c r="D135" s="2"/>
      <c r="E135" s="2" t="str">
        <f>F78</f>
        <v>G1</v>
      </c>
      <c r="F135" s="2" t="s">
        <v>57</v>
      </c>
      <c r="G135" s="2">
        <f>I76-162</f>
        <v>691</v>
      </c>
      <c r="H135" s="2">
        <f>M72-162</f>
        <v>1101</v>
      </c>
      <c r="I135" s="2">
        <f>1*E79</f>
        <v>1</v>
      </c>
      <c r="J135" s="2" t="s">
        <v>8</v>
      </c>
      <c r="K135" s="2"/>
      <c r="L135" s="10"/>
      <c r="M135" s="10"/>
      <c r="N135" s="10"/>
      <c r="O135" s="5"/>
      <c r="P135" s="9"/>
      <c r="Q135" s="9"/>
      <c r="R135" s="9"/>
      <c r="S135" s="9"/>
      <c r="T135" s="9"/>
      <c r="U135" s="9"/>
      <c r="V135" s="9" t="s">
        <v>19</v>
      </c>
      <c r="W135" s="9" t="str">
        <f>E80</f>
        <v>AJO 26 - 006</v>
      </c>
      <c r="X135" s="9" t="str">
        <f>D83&amp;"-"&amp;E83</f>
        <v>1-A2-W3</v>
      </c>
      <c r="Y135" s="9"/>
      <c r="Z135" s="9" t="str">
        <f>E135</f>
        <v>G1</v>
      </c>
      <c r="AA135" s="9">
        <f>G135</f>
        <v>691</v>
      </c>
      <c r="AB135" s="9">
        <f>H135</f>
        <v>1101</v>
      </c>
      <c r="AC135" s="9">
        <f>I135</f>
        <v>1</v>
      </c>
      <c r="AD135" s="9" t="str">
        <f>J135</f>
        <v>mm</v>
      </c>
      <c r="AE135" s="9">
        <f>L135</f>
        <v>0</v>
      </c>
      <c r="AF135" s="9" t="str">
        <f>E73</f>
        <v>O-25035</v>
      </c>
      <c r="AG135" s="9" t="str">
        <f>E74</f>
        <v>Jad Abi Rizk</v>
      </c>
      <c r="AH135" s="9" t="str">
        <f>C135</f>
        <v>Double Glazing</v>
      </c>
      <c r="AI135" s="9" t="str">
        <f>E78</f>
        <v>32 mm</v>
      </c>
      <c r="AJ135" s="9">
        <f>E82</f>
        <v>1</v>
      </c>
      <c r="AK135" s="9">
        <f>E81</f>
        <v>0</v>
      </c>
      <c r="AL135" s="9" t="s">
        <v>57</v>
      </c>
    </row>
    <row r="137" spans="1:38" s="7" customFormat="1" ht="15.75" x14ac:dyDescent="0.25">
      <c r="A137" s="1" t="s">
        <v>0</v>
      </c>
      <c r="B137" s="1"/>
      <c r="C137" s="2"/>
      <c r="D137" s="3"/>
      <c r="E137" s="3"/>
      <c r="F137" s="3"/>
      <c r="G137" s="4"/>
      <c r="H137" s="4"/>
      <c r="I137" s="4"/>
      <c r="J137" s="4"/>
      <c r="K137" s="4"/>
      <c r="L137" s="4"/>
      <c r="M137" s="5"/>
      <c r="N137" s="5"/>
      <c r="O137" s="5"/>
      <c r="P137" s="5"/>
      <c r="Q137" s="3" t="s">
        <v>1</v>
      </c>
      <c r="R137" s="1" t="s">
        <v>2</v>
      </c>
      <c r="S137" s="3"/>
      <c r="T137" s="4"/>
      <c r="U137" s="4"/>
      <c r="V137" s="4"/>
      <c r="W137" s="4"/>
      <c r="X137" s="4"/>
      <c r="Y137" s="4"/>
      <c r="Z137" s="6"/>
      <c r="AA137" s="6"/>
      <c r="AB137" s="6"/>
      <c r="AC137" s="6"/>
      <c r="AD137" s="6"/>
      <c r="AE137" s="6"/>
      <c r="AF137" s="6"/>
      <c r="AG137" s="6"/>
    </row>
    <row r="138" spans="1:38" s="7" customFormat="1" ht="15.75" x14ac:dyDescent="0.25">
      <c r="A138" s="1"/>
      <c r="B138" s="1"/>
      <c r="C138" s="2"/>
      <c r="D138" s="3"/>
      <c r="E138" s="3"/>
      <c r="F138" s="3"/>
      <c r="G138" s="4"/>
      <c r="H138" s="4"/>
      <c r="I138" s="4"/>
      <c r="J138" s="4"/>
      <c r="K138" s="4"/>
      <c r="L138" s="4"/>
      <c r="M138" s="5"/>
      <c r="N138" s="5"/>
      <c r="O138" s="5"/>
      <c r="P138" s="5"/>
      <c r="Q138" s="8" t="s">
        <v>3</v>
      </c>
      <c r="R138" s="1"/>
      <c r="S138" s="3"/>
      <c r="T138" s="4"/>
      <c r="U138" s="4"/>
      <c r="V138" s="4"/>
      <c r="W138" s="4"/>
      <c r="X138" s="4"/>
      <c r="Y138" s="4"/>
      <c r="Z138" s="6"/>
      <c r="AA138" s="6"/>
      <c r="AB138" s="6"/>
      <c r="AC138" s="6"/>
      <c r="AD138" s="6"/>
      <c r="AE138" s="6"/>
      <c r="AF138" s="6"/>
      <c r="AG138" s="6"/>
    </row>
    <row r="139" spans="1:38" s="7" customFormat="1" ht="15.75" x14ac:dyDescent="0.25">
      <c r="A139" s="3"/>
      <c r="B139" s="3"/>
      <c r="C139" s="9"/>
      <c r="D139" s="3"/>
      <c r="E139" s="3"/>
      <c r="F139" s="3"/>
      <c r="G139" s="4"/>
      <c r="H139" s="4"/>
      <c r="I139" s="4"/>
      <c r="J139" s="3"/>
      <c r="K139" s="3"/>
      <c r="L139" s="8"/>
      <c r="M139" s="5"/>
      <c r="N139" s="5"/>
      <c r="O139" s="10"/>
      <c r="P139" s="10"/>
      <c r="Q139" s="3" t="s">
        <v>4</v>
      </c>
      <c r="R139" s="3">
        <v>1</v>
      </c>
      <c r="S139" s="3"/>
      <c r="T139" s="4"/>
      <c r="U139" s="4"/>
      <c r="V139" s="4"/>
      <c r="W139" s="4"/>
      <c r="X139" s="4"/>
      <c r="Y139" s="4"/>
      <c r="Z139" s="6"/>
      <c r="AA139" s="6"/>
      <c r="AB139" s="6"/>
      <c r="AC139" s="6"/>
      <c r="AD139" s="6"/>
      <c r="AE139" s="6"/>
      <c r="AF139" s="6"/>
      <c r="AG139" s="6"/>
    </row>
    <row r="140" spans="1:38" s="7" customFormat="1" ht="15.75" x14ac:dyDescent="0.25">
      <c r="A140" s="1" t="s">
        <v>5</v>
      </c>
      <c r="B140" s="3"/>
      <c r="C140" s="2" t="s">
        <v>6</v>
      </c>
      <c r="D140" s="11"/>
      <c r="E140" s="1" t="str">
        <f>R137</f>
        <v>Marina Living Larnaca</v>
      </c>
      <c r="F140" s="1"/>
      <c r="H140" s="4"/>
      <c r="I140" s="4"/>
      <c r="J140" s="4"/>
      <c r="K140" s="4"/>
      <c r="L140" s="12" t="s">
        <v>7</v>
      </c>
      <c r="M140" s="5">
        <f>R142</f>
        <v>1047</v>
      </c>
      <c r="N140" s="13" t="s">
        <v>8</v>
      </c>
      <c r="O140" s="10"/>
      <c r="P140" s="10"/>
      <c r="Q140" s="3" t="s">
        <v>9</v>
      </c>
      <c r="R140" s="14" t="s">
        <v>87</v>
      </c>
      <c r="S140" s="14"/>
      <c r="T140" s="4"/>
      <c r="U140" s="4"/>
      <c r="V140" s="4"/>
      <c r="W140" s="4"/>
      <c r="X140" s="4"/>
      <c r="Y140" s="4"/>
      <c r="Z140" s="6"/>
      <c r="AA140" s="6"/>
      <c r="AB140" s="6"/>
      <c r="AC140" s="6"/>
      <c r="AD140" s="6"/>
      <c r="AE140" s="6"/>
      <c r="AF140" s="6"/>
      <c r="AG140" s="6"/>
    </row>
    <row r="141" spans="1:38" s="7" customFormat="1" ht="15.75" x14ac:dyDescent="0.25">
      <c r="A141" s="1" t="s">
        <v>11</v>
      </c>
      <c r="B141" s="3"/>
      <c r="C141" s="2" t="s">
        <v>6</v>
      </c>
      <c r="D141" s="11"/>
      <c r="E141" s="15" t="s">
        <v>12</v>
      </c>
      <c r="F141" s="15"/>
      <c r="H141" s="4"/>
      <c r="I141" s="8"/>
      <c r="J141" s="4"/>
      <c r="K141" s="4"/>
      <c r="L141" s="4"/>
      <c r="M141" s="5"/>
      <c r="N141" s="5"/>
      <c r="O141" s="5"/>
      <c r="P141" s="5"/>
      <c r="Q141" s="3" t="s">
        <v>13</v>
      </c>
      <c r="R141" s="3">
        <v>746</v>
      </c>
      <c r="S141" s="3"/>
      <c r="T141" s="4"/>
      <c r="U141" s="4"/>
      <c r="V141" s="4"/>
      <c r="W141" s="4"/>
      <c r="X141" s="4"/>
      <c r="Y141" s="4"/>
      <c r="Z141" s="6"/>
      <c r="AA141" s="6"/>
      <c r="AB141" s="6"/>
      <c r="AC141" s="6"/>
      <c r="AD141" s="6"/>
      <c r="AE141" s="6"/>
      <c r="AF141" s="6"/>
      <c r="AG141" s="6"/>
    </row>
    <row r="142" spans="1:38" s="7" customFormat="1" ht="15.75" x14ac:dyDescent="0.25">
      <c r="A142" s="15" t="s">
        <v>14</v>
      </c>
      <c r="B142" s="11"/>
      <c r="C142" s="2" t="s">
        <v>6</v>
      </c>
      <c r="D142" s="11"/>
      <c r="E142" s="1" t="s">
        <v>15</v>
      </c>
      <c r="F142" s="1"/>
      <c r="H142" s="4"/>
      <c r="I142" s="4"/>
      <c r="J142" s="4"/>
      <c r="K142" s="4"/>
      <c r="L142" s="16"/>
      <c r="M142" s="9"/>
      <c r="N142" s="9"/>
      <c r="O142" s="9"/>
      <c r="P142" s="9"/>
      <c r="Q142" s="3" t="s">
        <v>7</v>
      </c>
      <c r="R142" s="3">
        <v>1047</v>
      </c>
      <c r="S142" s="3">
        <v>1200</v>
      </c>
      <c r="T142" s="17" t="s">
        <v>16</v>
      </c>
      <c r="U142" s="4"/>
      <c r="V142" s="4"/>
      <c r="W142" s="4"/>
      <c r="X142" s="4"/>
      <c r="Y142" s="4"/>
      <c r="Z142" s="6"/>
      <c r="AA142" s="6"/>
      <c r="AB142" s="6"/>
      <c r="AC142" s="6"/>
      <c r="AD142" s="6"/>
      <c r="AE142" s="6"/>
      <c r="AF142" s="6"/>
      <c r="AG142" s="6"/>
    </row>
    <row r="143" spans="1:38" s="7" customFormat="1" ht="15.75" x14ac:dyDescent="0.25">
      <c r="A143" s="1" t="s">
        <v>17</v>
      </c>
      <c r="B143" s="3"/>
      <c r="C143" s="2" t="s">
        <v>6</v>
      </c>
      <c r="D143" s="11"/>
      <c r="E143" s="1" t="s">
        <v>18</v>
      </c>
      <c r="F143" s="1"/>
      <c r="I143" s="4"/>
      <c r="J143" s="4"/>
      <c r="K143" s="4"/>
      <c r="L143" s="16"/>
      <c r="M143" s="9"/>
      <c r="N143" s="9"/>
      <c r="O143" s="9"/>
      <c r="P143" s="5"/>
      <c r="Q143" s="3" t="s">
        <v>19</v>
      </c>
      <c r="R143" s="3" t="s">
        <v>20</v>
      </c>
      <c r="S143" s="3" t="s">
        <v>88</v>
      </c>
      <c r="T143" s="4"/>
      <c r="U143" s="4"/>
      <c r="V143" s="4"/>
      <c r="W143" s="4"/>
      <c r="X143" s="4"/>
      <c r="Y143" s="4"/>
      <c r="Z143" s="6"/>
      <c r="AA143" s="6"/>
      <c r="AB143" s="6"/>
      <c r="AC143" s="6"/>
      <c r="AD143" s="6"/>
      <c r="AE143" s="6"/>
      <c r="AF143" s="6"/>
      <c r="AG143" s="6"/>
    </row>
    <row r="144" spans="1:38" s="7" customFormat="1" ht="15.75" x14ac:dyDescent="0.25">
      <c r="A144" s="1" t="s">
        <v>22</v>
      </c>
      <c r="B144" s="3"/>
      <c r="C144" s="2" t="s">
        <v>6</v>
      </c>
      <c r="D144" s="11"/>
      <c r="E144" s="1" t="s">
        <v>23</v>
      </c>
      <c r="F144" s="1"/>
      <c r="G144" s="4"/>
      <c r="H144" s="4" t="s">
        <v>13</v>
      </c>
      <c r="I144" s="5">
        <f>R141</f>
        <v>746</v>
      </c>
      <c r="J144" s="8" t="s">
        <v>8</v>
      </c>
      <c r="K144" s="4"/>
      <c r="L144" s="4"/>
      <c r="M144" s="5"/>
      <c r="N144" s="5"/>
      <c r="O144" s="5"/>
      <c r="P144" s="5"/>
      <c r="Q144" s="3" t="s">
        <v>24</v>
      </c>
      <c r="R144" s="3">
        <v>1</v>
      </c>
      <c r="S144" s="3"/>
      <c r="T144" s="4"/>
      <c r="U144" s="4"/>
      <c r="V144" s="4"/>
      <c r="W144" s="4"/>
      <c r="X144" s="4"/>
      <c r="Y144" s="4"/>
      <c r="Z144" s="6"/>
      <c r="AA144" s="6"/>
      <c r="AB144" s="6"/>
      <c r="AC144" s="6"/>
      <c r="AD144" s="6"/>
      <c r="AE144" s="6"/>
      <c r="AF144" s="6"/>
      <c r="AG144" s="6"/>
    </row>
    <row r="145" spans="1:38" s="7" customFormat="1" ht="15.75" x14ac:dyDescent="0.25">
      <c r="A145" s="1" t="s">
        <v>25</v>
      </c>
      <c r="B145" s="3"/>
      <c r="C145" s="2" t="s">
        <v>6</v>
      </c>
      <c r="D145" s="3"/>
      <c r="E145" s="18">
        <f ca="1">TODAY()</f>
        <v>46220</v>
      </c>
      <c r="F145" s="18"/>
      <c r="G145" s="4"/>
      <c r="H145" s="4"/>
      <c r="I145" s="3"/>
      <c r="J145" s="3"/>
      <c r="K145" s="3"/>
      <c r="L145" s="16" t="s">
        <v>26</v>
      </c>
      <c r="M145" s="9">
        <f>S142</f>
        <v>1200</v>
      </c>
      <c r="N145" s="19" t="s">
        <v>8</v>
      </c>
      <c r="O145" s="9"/>
      <c r="P145" s="5"/>
      <c r="Q145" s="3" t="s">
        <v>27</v>
      </c>
      <c r="R145" s="3">
        <v>1</v>
      </c>
      <c r="S145" s="3"/>
      <c r="T145" s="4"/>
      <c r="U145" s="4"/>
      <c r="V145" s="4"/>
      <c r="W145" s="4"/>
      <c r="X145" s="4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8" s="7" customFormat="1" ht="15.75" x14ac:dyDescent="0.25">
      <c r="A146" s="1" t="s">
        <v>19</v>
      </c>
      <c r="B146" s="3"/>
      <c r="C146" s="2" t="s">
        <v>6</v>
      </c>
      <c r="D146" s="11"/>
      <c r="E146" s="15" t="str">
        <f>R143</f>
        <v>32 mm</v>
      </c>
      <c r="F146" s="15" t="str">
        <f>S143</f>
        <v>G1a</v>
      </c>
      <c r="G146" s="4"/>
      <c r="H146" s="4"/>
      <c r="I146" s="4"/>
      <c r="J146" s="20"/>
      <c r="K146" s="21"/>
      <c r="L146" s="16" t="s">
        <v>28</v>
      </c>
      <c r="M146" s="9">
        <f>IF(1500-M145&lt;300,300,1500-M145)</f>
        <v>300</v>
      </c>
      <c r="N146" s="19" t="s">
        <v>8</v>
      </c>
      <c r="O146" s="22"/>
      <c r="P146" s="5"/>
      <c r="Q146" s="3"/>
      <c r="R146" s="3"/>
      <c r="S146" s="3"/>
      <c r="T146" s="4"/>
      <c r="U146" s="4"/>
      <c r="V146" s="4"/>
      <c r="W146" s="4"/>
      <c r="X146" s="4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8" s="7" customFormat="1" ht="15.75" x14ac:dyDescent="0.25">
      <c r="A147" s="1" t="s">
        <v>27</v>
      </c>
      <c r="B147" s="3"/>
      <c r="C147" s="2" t="s">
        <v>6</v>
      </c>
      <c r="D147" s="11"/>
      <c r="E147" s="15">
        <f>R145</f>
        <v>1</v>
      </c>
      <c r="F147" s="15"/>
      <c r="G147" s="4"/>
      <c r="H147" s="4"/>
      <c r="I147" s="3"/>
      <c r="J147" s="3"/>
      <c r="K147" s="3"/>
      <c r="L147" s="3"/>
      <c r="M147" s="5"/>
      <c r="N147" s="5"/>
      <c r="O147" s="5"/>
      <c r="P147" s="5"/>
      <c r="Q147" s="4"/>
      <c r="R147" s="4"/>
      <c r="S147" s="4"/>
      <c r="T147" s="4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8" s="7" customFormat="1" ht="15.75" x14ac:dyDescent="0.25">
      <c r="A148" s="1" t="s">
        <v>29</v>
      </c>
      <c r="B148" s="3"/>
      <c r="C148" s="2" t="s">
        <v>6</v>
      </c>
      <c r="D148" s="3"/>
      <c r="E148" s="1" t="s">
        <v>30</v>
      </c>
      <c r="F148" s="23"/>
      <c r="G148" s="4"/>
      <c r="H148" s="4"/>
      <c r="I148" s="3"/>
      <c r="J148" s="3"/>
      <c r="K148" s="3"/>
      <c r="L148" s="3"/>
      <c r="M148" s="5"/>
      <c r="N148" s="5"/>
      <c r="O148" s="5"/>
      <c r="P148" s="5"/>
      <c r="Q148" s="4"/>
      <c r="R148" s="4"/>
      <c r="S148" s="4"/>
      <c r="T148" s="4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8" s="7" customFormat="1" ht="15.75" x14ac:dyDescent="0.25">
      <c r="A149" s="1" t="s">
        <v>3</v>
      </c>
      <c r="B149" s="3"/>
      <c r="C149" s="2" t="s">
        <v>6</v>
      </c>
      <c r="D149" s="3"/>
      <c r="E149" s="1">
        <f>R138</f>
        <v>0</v>
      </c>
      <c r="F149" s="23"/>
      <c r="G149" s="24"/>
      <c r="H149" s="4"/>
      <c r="I149" s="4"/>
      <c r="J149" s="4"/>
      <c r="K149" s="4"/>
      <c r="L149" s="4"/>
      <c r="M149" s="5"/>
      <c r="N149" s="5"/>
      <c r="O149" s="5"/>
      <c r="P149" s="5"/>
      <c r="Q149" s="4"/>
      <c r="R149" s="4"/>
      <c r="S149" s="4"/>
      <c r="T149" s="4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8" s="7" customFormat="1" ht="15.75" x14ac:dyDescent="0.25">
      <c r="A150" s="25" t="s">
        <v>31</v>
      </c>
      <c r="B150" s="3"/>
      <c r="C150" s="2" t="s">
        <v>6</v>
      </c>
      <c r="D150" s="3"/>
      <c r="E150" s="15">
        <f>R139</f>
        <v>1</v>
      </c>
      <c r="F150" s="15"/>
      <c r="G150" s="4"/>
      <c r="H150" s="4"/>
      <c r="I150" s="4"/>
      <c r="J150" s="4"/>
      <c r="K150" s="4"/>
      <c r="L150" s="4"/>
      <c r="M150" s="5"/>
      <c r="N150" s="5"/>
      <c r="O150" s="5"/>
      <c r="P150" s="5"/>
      <c r="Q150" s="4"/>
      <c r="R150" s="4"/>
      <c r="S150" s="4"/>
      <c r="T150" s="4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8" s="7" customFormat="1" ht="15.75" x14ac:dyDescent="0.25">
      <c r="A151" s="25" t="s">
        <v>32</v>
      </c>
      <c r="B151" s="26"/>
      <c r="C151" s="2" t="s">
        <v>6</v>
      </c>
      <c r="D151" s="1">
        <f>R139</f>
        <v>1</v>
      </c>
      <c r="E151" s="15" t="str">
        <f>R140</f>
        <v>A2-W4</v>
      </c>
      <c r="F151" s="15"/>
      <c r="G151" s="4"/>
      <c r="H151" s="4"/>
      <c r="I151" s="4"/>
      <c r="J151" s="4"/>
      <c r="K151" s="4"/>
      <c r="L151" s="4"/>
      <c r="M151" s="5"/>
      <c r="N151" s="5"/>
      <c r="O151" s="5"/>
      <c r="P151" s="5"/>
      <c r="Q151" s="4"/>
      <c r="R151" s="4"/>
      <c r="S151" s="4"/>
      <c r="T151" s="4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8" s="7" customFormat="1" ht="16.5" thickBot="1" x14ac:dyDescent="0.3">
      <c r="A152" s="27"/>
      <c r="B152" s="28"/>
      <c r="C152" s="10"/>
      <c r="D152" s="4"/>
      <c r="E152" s="24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5"/>
      <c r="Q152" s="4"/>
      <c r="R152" s="4"/>
      <c r="S152" s="4"/>
      <c r="T152" s="4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8" s="7" customFormat="1" ht="29.1" customHeight="1" thickBot="1" x14ac:dyDescent="0.25">
      <c r="A153" s="29" t="s">
        <v>33</v>
      </c>
      <c r="B153" s="30"/>
      <c r="C153" s="31" t="s">
        <v>34</v>
      </c>
      <c r="D153" s="32"/>
      <c r="E153" s="29" t="s">
        <v>35</v>
      </c>
      <c r="F153" s="29" t="s">
        <v>36</v>
      </c>
      <c r="G153" s="29" t="s">
        <v>37</v>
      </c>
      <c r="H153" s="29" t="s">
        <v>38</v>
      </c>
      <c r="I153" s="29" t="s">
        <v>27</v>
      </c>
      <c r="J153" s="29" t="s">
        <v>39</v>
      </c>
      <c r="K153" s="33" t="s">
        <v>40</v>
      </c>
      <c r="L153" s="33"/>
      <c r="M153" s="31" t="s">
        <v>41</v>
      </c>
      <c r="N153" s="34"/>
      <c r="O153" s="5"/>
      <c r="P153" s="5"/>
      <c r="Q153" s="5"/>
      <c r="R153" s="5"/>
      <c r="S153" s="5"/>
      <c r="T153" s="5"/>
      <c r="U153" s="5"/>
      <c r="V153" s="3"/>
      <c r="W153" s="3"/>
      <c r="X153" s="3"/>
      <c r="Y153" s="3"/>
      <c r="Z153" s="3"/>
      <c r="AA153" s="3"/>
      <c r="AB153" s="3"/>
      <c r="AC153" s="35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s="44" customFormat="1" ht="29.25" customHeight="1" x14ac:dyDescent="0.25">
      <c r="A154" s="36">
        <v>1</v>
      </c>
      <c r="B154" s="37"/>
      <c r="C154" s="37" t="str">
        <f>E144</f>
        <v>TECHNAL FXI</v>
      </c>
      <c r="D154" s="38"/>
      <c r="E154" s="36" t="s">
        <v>52</v>
      </c>
      <c r="F154" s="39" t="str">
        <f>E143</f>
        <v>E5 Clair</v>
      </c>
      <c r="G154" s="40">
        <f>I144</f>
        <v>746</v>
      </c>
      <c r="H154" s="36"/>
      <c r="I154" s="36">
        <f>2*E147</f>
        <v>2</v>
      </c>
      <c r="J154" s="41" t="s">
        <v>8</v>
      </c>
      <c r="K154" s="42"/>
      <c r="L154" s="43" t="s">
        <v>53</v>
      </c>
      <c r="M154" s="41"/>
      <c r="N154" s="37"/>
      <c r="O154" s="5"/>
      <c r="P154" s="5"/>
      <c r="Q154" s="5"/>
      <c r="R154" s="5"/>
      <c r="S154" s="5"/>
      <c r="T154" s="5"/>
      <c r="U154" s="5"/>
      <c r="V154" s="9" t="s">
        <v>54</v>
      </c>
      <c r="W154" s="9" t="str">
        <f>E148</f>
        <v>AJO 26 - 006</v>
      </c>
      <c r="X154" s="9" t="str">
        <f>D151&amp;"-"&amp;E151</f>
        <v>1-A2-W4</v>
      </c>
      <c r="Y154" s="9" t="str">
        <f t="shared" ref="Y154:AD171" si="12">E154</f>
        <v>HF008</v>
      </c>
      <c r="Z154" s="9" t="str">
        <f t="shared" si="12"/>
        <v>E5 Clair</v>
      </c>
      <c r="AA154" s="9">
        <f t="shared" si="12"/>
        <v>746</v>
      </c>
      <c r="AB154" s="9">
        <f t="shared" si="12"/>
        <v>0</v>
      </c>
      <c r="AC154" s="9">
        <f t="shared" si="12"/>
        <v>2</v>
      </c>
      <c r="AD154" s="9" t="str">
        <f t="shared" si="12"/>
        <v>mm</v>
      </c>
      <c r="AE154" s="9" t="str">
        <f t="shared" ref="AE154:AE171" si="13">L154</f>
        <v>-45.0/ 45.0</v>
      </c>
      <c r="AF154" s="9" t="str">
        <f>E141</f>
        <v>O-25035</v>
      </c>
      <c r="AG154" s="9" t="str">
        <f>E142</f>
        <v>Jad Abi Rizk</v>
      </c>
      <c r="AH154" s="9" t="str">
        <f t="shared" ref="AH154:AH171" si="14">C154</f>
        <v>TECHNAL FXI</v>
      </c>
      <c r="AI154" s="9" t="str">
        <f>E146</f>
        <v>32 mm</v>
      </c>
      <c r="AJ154" s="9">
        <f>E150</f>
        <v>1</v>
      </c>
      <c r="AK154" s="9">
        <f>E149</f>
        <v>0</v>
      </c>
      <c r="AL154" s="9">
        <f>M146</f>
        <v>300</v>
      </c>
    </row>
    <row r="155" spans="1:38" s="44" customFormat="1" ht="29.25" customHeight="1" x14ac:dyDescent="0.25">
      <c r="A155" s="36">
        <v>2</v>
      </c>
      <c r="B155" s="37"/>
      <c r="C155" s="37" t="str">
        <f>E144</f>
        <v>TECHNAL FXI</v>
      </c>
      <c r="D155" s="38"/>
      <c r="E155" s="36" t="s">
        <v>52</v>
      </c>
      <c r="F155" s="39" t="str">
        <f>E143</f>
        <v>E5 Clair</v>
      </c>
      <c r="G155" s="40">
        <f>M140</f>
        <v>1047</v>
      </c>
      <c r="H155" s="36"/>
      <c r="I155" s="36">
        <f>2*E147</f>
        <v>2</v>
      </c>
      <c r="J155" s="41" t="s">
        <v>8</v>
      </c>
      <c r="K155" s="42"/>
      <c r="L155" s="43" t="s">
        <v>53</v>
      </c>
      <c r="M155" s="41"/>
      <c r="N155" s="37"/>
      <c r="O155" s="5"/>
      <c r="P155" s="5"/>
      <c r="Q155" s="5"/>
      <c r="R155" s="5"/>
      <c r="S155" s="5"/>
      <c r="T155" s="5"/>
      <c r="U155" s="5"/>
      <c r="V155" s="9" t="s">
        <v>54</v>
      </c>
      <c r="W155" s="9" t="str">
        <f>E148</f>
        <v>AJO 26 - 006</v>
      </c>
      <c r="X155" s="9" t="str">
        <f>D151&amp;"-"&amp;E151</f>
        <v>1-A2-W4</v>
      </c>
      <c r="Y155" s="9" t="str">
        <f t="shared" si="12"/>
        <v>HF008</v>
      </c>
      <c r="Z155" s="9" t="str">
        <f t="shared" si="12"/>
        <v>E5 Clair</v>
      </c>
      <c r="AA155" s="9">
        <f t="shared" si="12"/>
        <v>1047</v>
      </c>
      <c r="AB155" s="9">
        <f t="shared" si="12"/>
        <v>0</v>
      </c>
      <c r="AC155" s="9">
        <f t="shared" si="12"/>
        <v>2</v>
      </c>
      <c r="AD155" s="9" t="str">
        <f t="shared" si="12"/>
        <v>mm</v>
      </c>
      <c r="AE155" s="9" t="str">
        <f t="shared" si="13"/>
        <v>-45.0/ 45.0</v>
      </c>
      <c r="AF155" s="9" t="str">
        <f>E141</f>
        <v>O-25035</v>
      </c>
      <c r="AG155" s="9" t="str">
        <f>E142</f>
        <v>Jad Abi Rizk</v>
      </c>
      <c r="AH155" s="9" t="str">
        <f t="shared" si="14"/>
        <v>TECHNAL FXI</v>
      </c>
      <c r="AI155" s="9" t="str">
        <f>E146</f>
        <v>32 mm</v>
      </c>
      <c r="AJ155" s="9">
        <f>E150</f>
        <v>1</v>
      </c>
      <c r="AK155" s="9">
        <f>E149</f>
        <v>0</v>
      </c>
      <c r="AL155" s="9">
        <f>M146</f>
        <v>300</v>
      </c>
    </row>
    <row r="156" spans="1:38" s="44" customFormat="1" ht="29.25" customHeight="1" x14ac:dyDescent="0.25">
      <c r="A156" s="36">
        <v>3</v>
      </c>
      <c r="B156" s="37"/>
      <c r="C156" s="37" t="str">
        <f>E144</f>
        <v>TECHNAL FXI</v>
      </c>
      <c r="D156" s="38"/>
      <c r="E156" s="36" t="s">
        <v>55</v>
      </c>
      <c r="F156" s="39" t="str">
        <f>E143</f>
        <v>E5 Clair</v>
      </c>
      <c r="G156" s="40">
        <f>I144-54</f>
        <v>692</v>
      </c>
      <c r="H156" s="36"/>
      <c r="I156" s="36">
        <f>2*E147</f>
        <v>2</v>
      </c>
      <c r="J156" s="41" t="s">
        <v>8</v>
      </c>
      <c r="K156" s="42"/>
      <c r="L156" s="43" t="s">
        <v>53</v>
      </c>
      <c r="M156" s="41"/>
      <c r="N156" s="37"/>
      <c r="O156" s="5"/>
      <c r="P156" s="5"/>
      <c r="Q156" s="5"/>
      <c r="R156" s="5"/>
      <c r="S156" s="5"/>
      <c r="T156" s="5"/>
      <c r="U156" s="5"/>
      <c r="V156" s="9" t="s">
        <v>54</v>
      </c>
      <c r="W156" s="9" t="str">
        <f>E148</f>
        <v>AJO 26 - 006</v>
      </c>
      <c r="X156" s="9" t="str">
        <f>D151&amp;"-"&amp;E151</f>
        <v>1-A2-W4</v>
      </c>
      <c r="Y156" s="9" t="str">
        <f t="shared" si="12"/>
        <v>HF001</v>
      </c>
      <c r="Z156" s="9" t="str">
        <f t="shared" si="12"/>
        <v>E5 Clair</v>
      </c>
      <c r="AA156" s="9">
        <f t="shared" si="12"/>
        <v>692</v>
      </c>
      <c r="AB156" s="9">
        <f t="shared" si="12"/>
        <v>0</v>
      </c>
      <c r="AC156" s="9">
        <f t="shared" si="12"/>
        <v>2</v>
      </c>
      <c r="AD156" s="9" t="str">
        <f t="shared" si="12"/>
        <v>mm</v>
      </c>
      <c r="AE156" s="9" t="str">
        <f t="shared" si="13"/>
        <v>-45.0/ 45.0</v>
      </c>
      <c r="AF156" s="9" t="str">
        <f>E141</f>
        <v>O-25035</v>
      </c>
      <c r="AG156" s="9" t="str">
        <f>E142</f>
        <v>Jad Abi Rizk</v>
      </c>
      <c r="AH156" s="9" t="str">
        <f t="shared" si="14"/>
        <v>TECHNAL FXI</v>
      </c>
      <c r="AI156" s="9" t="str">
        <f>E146</f>
        <v>32 mm</v>
      </c>
      <c r="AJ156" s="9">
        <f>E150</f>
        <v>1</v>
      </c>
      <c r="AK156" s="9">
        <f>E149</f>
        <v>0</v>
      </c>
      <c r="AL156" s="9">
        <f>M146</f>
        <v>300</v>
      </c>
    </row>
    <row r="157" spans="1:38" s="44" customFormat="1" ht="29.25" customHeight="1" x14ac:dyDescent="0.25">
      <c r="A157" s="36">
        <v>4</v>
      </c>
      <c r="B157" s="37"/>
      <c r="C157" s="37" t="str">
        <f>E144</f>
        <v>TECHNAL FXI</v>
      </c>
      <c r="D157" s="38"/>
      <c r="E157" s="36" t="s">
        <v>55</v>
      </c>
      <c r="F157" s="39" t="str">
        <f>E143</f>
        <v>E5 Clair</v>
      </c>
      <c r="G157" s="40">
        <f>M140-54</f>
        <v>993</v>
      </c>
      <c r="H157" s="36"/>
      <c r="I157" s="36">
        <f>2*E147</f>
        <v>2</v>
      </c>
      <c r="J157" s="41" t="s">
        <v>8</v>
      </c>
      <c r="K157" s="42"/>
      <c r="L157" s="43" t="s">
        <v>53</v>
      </c>
      <c r="M157" s="41"/>
      <c r="N157" s="37"/>
      <c r="O157" s="5"/>
      <c r="P157" s="5"/>
      <c r="Q157" s="5"/>
      <c r="R157" s="5"/>
      <c r="S157" s="5"/>
      <c r="T157" s="5"/>
      <c r="U157" s="5"/>
      <c r="V157" s="9" t="s">
        <v>54</v>
      </c>
      <c r="W157" s="9" t="str">
        <f>E148</f>
        <v>AJO 26 - 006</v>
      </c>
      <c r="X157" s="9" t="str">
        <f>D151&amp;"-"&amp;E151</f>
        <v>1-A2-W4</v>
      </c>
      <c r="Y157" s="9" t="str">
        <f t="shared" si="12"/>
        <v>HF001</v>
      </c>
      <c r="Z157" s="9" t="str">
        <f t="shared" si="12"/>
        <v>E5 Clair</v>
      </c>
      <c r="AA157" s="9">
        <f t="shared" si="12"/>
        <v>993</v>
      </c>
      <c r="AB157" s="9">
        <f t="shared" si="12"/>
        <v>0</v>
      </c>
      <c r="AC157" s="9">
        <f t="shared" si="12"/>
        <v>2</v>
      </c>
      <c r="AD157" s="9" t="str">
        <f t="shared" si="12"/>
        <v>mm</v>
      </c>
      <c r="AE157" s="9" t="str">
        <f t="shared" si="13"/>
        <v>-45.0/ 45.0</v>
      </c>
      <c r="AF157" s="9" t="str">
        <f>E141</f>
        <v>O-25035</v>
      </c>
      <c r="AG157" s="9" t="str">
        <f>E142</f>
        <v>Jad Abi Rizk</v>
      </c>
      <c r="AH157" s="9" t="str">
        <f t="shared" si="14"/>
        <v>TECHNAL FXI</v>
      </c>
      <c r="AI157" s="9" t="str">
        <f>E146</f>
        <v>32 mm</v>
      </c>
      <c r="AJ157" s="9">
        <f>E150</f>
        <v>1</v>
      </c>
      <c r="AK157" s="9">
        <f>E149</f>
        <v>0</v>
      </c>
      <c r="AL157" s="9">
        <f>M146</f>
        <v>300</v>
      </c>
    </row>
    <row r="158" spans="1:38" s="44" customFormat="1" ht="29.25" customHeight="1" x14ac:dyDescent="0.25">
      <c r="A158" s="36">
        <v>5</v>
      </c>
      <c r="B158" s="37"/>
      <c r="C158" s="37" t="str">
        <f>E144</f>
        <v>TECHNAL FXI</v>
      </c>
      <c r="D158" s="38"/>
      <c r="E158" s="36">
        <v>8402</v>
      </c>
      <c r="F158" s="39" t="str">
        <f>E143</f>
        <v>E5 Clair</v>
      </c>
      <c r="G158" s="40">
        <f>I144+41</f>
        <v>787</v>
      </c>
      <c r="H158" s="36"/>
      <c r="I158" s="36">
        <f>1*E147</f>
        <v>1</v>
      </c>
      <c r="J158" s="41" t="s">
        <v>8</v>
      </c>
      <c r="K158" s="42"/>
      <c r="L158" s="43" t="s">
        <v>85</v>
      </c>
      <c r="M158" s="37"/>
      <c r="N158" s="45"/>
      <c r="O158" s="5"/>
      <c r="P158" s="5"/>
      <c r="Q158" s="5"/>
      <c r="R158" s="5"/>
      <c r="S158" s="5"/>
      <c r="T158" s="5"/>
      <c r="U158" s="5"/>
      <c r="V158" s="9" t="s">
        <v>54</v>
      </c>
      <c r="W158" s="9" t="str">
        <f>E148</f>
        <v>AJO 26 - 006</v>
      </c>
      <c r="X158" s="9" t="str">
        <f>D151&amp;"-"&amp;E151</f>
        <v>1-A2-W4</v>
      </c>
      <c r="Y158" s="9">
        <f t="shared" si="12"/>
        <v>8402</v>
      </c>
      <c r="Z158" s="9" t="str">
        <f t="shared" si="12"/>
        <v>E5 Clair</v>
      </c>
      <c r="AA158" s="9">
        <f t="shared" si="12"/>
        <v>787</v>
      </c>
      <c r="AB158" s="9">
        <f t="shared" si="12"/>
        <v>0</v>
      </c>
      <c r="AC158" s="9">
        <f t="shared" si="12"/>
        <v>1</v>
      </c>
      <c r="AD158" s="9" t="str">
        <f t="shared" si="12"/>
        <v>mm</v>
      </c>
      <c r="AE158" s="9" t="str">
        <f t="shared" si="13"/>
        <v>-45.0/ 0.0</v>
      </c>
      <c r="AF158" s="9" t="str">
        <f>E141</f>
        <v>O-25035</v>
      </c>
      <c r="AG158" s="9" t="str">
        <f>E142</f>
        <v>Jad Abi Rizk</v>
      </c>
      <c r="AH158" s="9" t="str">
        <f t="shared" si="14"/>
        <v>TECHNAL FXI</v>
      </c>
      <c r="AI158" s="9" t="str">
        <f>E146</f>
        <v>32 mm</v>
      </c>
      <c r="AJ158" s="9">
        <f>E150</f>
        <v>1</v>
      </c>
      <c r="AK158" s="9">
        <f>E149</f>
        <v>0</v>
      </c>
      <c r="AL158" s="9" t="s">
        <v>57</v>
      </c>
    </row>
    <row r="159" spans="1:38" s="44" customFormat="1" ht="29.25" customHeight="1" x14ac:dyDescent="0.25">
      <c r="A159" s="36">
        <v>6</v>
      </c>
      <c r="B159" s="37"/>
      <c r="C159" s="37" t="str">
        <f>E144</f>
        <v>TECHNAL FXI</v>
      </c>
      <c r="D159" s="38"/>
      <c r="E159" s="36">
        <v>8402</v>
      </c>
      <c r="F159" s="39" t="str">
        <f>E143</f>
        <v>E5 Clair</v>
      </c>
      <c r="G159" s="40">
        <f>I144+41</f>
        <v>787</v>
      </c>
      <c r="H159" s="36"/>
      <c r="I159" s="36">
        <f>1*E147</f>
        <v>1</v>
      </c>
      <c r="J159" s="41" t="s">
        <v>8</v>
      </c>
      <c r="K159" s="42"/>
      <c r="L159" s="43" t="s">
        <v>86</v>
      </c>
      <c r="M159" s="46"/>
      <c r="N159" s="13"/>
      <c r="O159" s="5"/>
      <c r="P159" s="5"/>
      <c r="Q159" s="5"/>
      <c r="R159" s="5"/>
      <c r="S159" s="5"/>
      <c r="T159" s="5"/>
      <c r="U159" s="5"/>
      <c r="V159" s="9" t="s">
        <v>54</v>
      </c>
      <c r="W159" s="9" t="str">
        <f>E148</f>
        <v>AJO 26 - 006</v>
      </c>
      <c r="X159" s="9" t="str">
        <f>D151&amp;"-"&amp;E151</f>
        <v>1-A2-W4</v>
      </c>
      <c r="Y159" s="9">
        <f t="shared" si="12"/>
        <v>8402</v>
      </c>
      <c r="Z159" s="9" t="str">
        <f t="shared" si="12"/>
        <v>E5 Clair</v>
      </c>
      <c r="AA159" s="9">
        <f t="shared" si="12"/>
        <v>787</v>
      </c>
      <c r="AB159" s="9">
        <f t="shared" si="12"/>
        <v>0</v>
      </c>
      <c r="AC159" s="9">
        <f t="shared" si="12"/>
        <v>1</v>
      </c>
      <c r="AD159" s="9" t="str">
        <f t="shared" si="12"/>
        <v>mm</v>
      </c>
      <c r="AE159" s="9" t="str">
        <f t="shared" si="13"/>
        <v>0.0/ 45.0</v>
      </c>
      <c r="AF159" s="9" t="str">
        <f>E141</f>
        <v>O-25035</v>
      </c>
      <c r="AG159" s="9" t="str">
        <f>E142</f>
        <v>Jad Abi Rizk</v>
      </c>
      <c r="AH159" s="9" t="str">
        <f t="shared" si="14"/>
        <v>TECHNAL FXI</v>
      </c>
      <c r="AI159" s="9" t="str">
        <f>E146</f>
        <v>32 mm</v>
      </c>
      <c r="AJ159" s="9">
        <f>E150</f>
        <v>1</v>
      </c>
      <c r="AK159" s="9">
        <f>E149</f>
        <v>0</v>
      </c>
      <c r="AL159" s="9" t="s">
        <v>57</v>
      </c>
    </row>
    <row r="160" spans="1:38" s="44" customFormat="1" ht="29.25" customHeight="1" x14ac:dyDescent="0.25">
      <c r="A160" s="36">
        <v>7</v>
      </c>
      <c r="B160" s="37"/>
      <c r="C160" s="47" t="str">
        <f>E144</f>
        <v>TECHNAL FXI</v>
      </c>
      <c r="D160" s="48"/>
      <c r="E160" s="36">
        <v>8402</v>
      </c>
      <c r="F160" s="39" t="str">
        <f>E143</f>
        <v>E5 Clair</v>
      </c>
      <c r="G160" s="40">
        <f>M140+82</f>
        <v>1129</v>
      </c>
      <c r="H160" s="49"/>
      <c r="I160" s="36">
        <f>1*E147</f>
        <v>1</v>
      </c>
      <c r="J160" s="50" t="s">
        <v>8</v>
      </c>
      <c r="K160" s="42"/>
      <c r="L160" s="43" t="s">
        <v>53</v>
      </c>
      <c r="M160" s="41" t="s">
        <v>89</v>
      </c>
      <c r="N160" s="37"/>
      <c r="O160" s="5"/>
      <c r="P160" s="5"/>
      <c r="Q160" s="5"/>
      <c r="R160" s="5"/>
      <c r="S160" s="5"/>
      <c r="T160" s="5"/>
      <c r="U160" s="5"/>
      <c r="V160" s="9" t="s">
        <v>54</v>
      </c>
      <c r="W160" s="9" t="str">
        <f>E148</f>
        <v>AJO 26 - 006</v>
      </c>
      <c r="X160" s="9" t="str">
        <f>D151&amp;"-"&amp;E151</f>
        <v>1-A2-W4</v>
      </c>
      <c r="Y160" s="9">
        <f t="shared" si="12"/>
        <v>8402</v>
      </c>
      <c r="Z160" s="9" t="str">
        <f t="shared" si="12"/>
        <v>E5 Clair</v>
      </c>
      <c r="AA160" s="9">
        <f t="shared" si="12"/>
        <v>1129</v>
      </c>
      <c r="AB160" s="9">
        <f t="shared" si="12"/>
        <v>0</v>
      </c>
      <c r="AC160" s="9">
        <f t="shared" si="12"/>
        <v>1</v>
      </c>
      <c r="AD160" s="9" t="str">
        <f t="shared" si="12"/>
        <v>mm</v>
      </c>
      <c r="AE160" s="9" t="str">
        <f t="shared" si="13"/>
        <v>-45.0/ 45.0</v>
      </c>
      <c r="AF160" s="9" t="str">
        <f>E141</f>
        <v>O-25035</v>
      </c>
      <c r="AG160" s="9" t="str">
        <f>E142</f>
        <v>Jad Abi Rizk</v>
      </c>
      <c r="AH160" s="9" t="str">
        <f t="shared" si="14"/>
        <v>TECHNAL FXI</v>
      </c>
      <c r="AI160" s="9" t="str">
        <f>E146</f>
        <v>32 mm</v>
      </c>
      <c r="AJ160" s="9">
        <f>E150</f>
        <v>1</v>
      </c>
      <c r="AK160" s="9">
        <f>E149</f>
        <v>0</v>
      </c>
      <c r="AL160" s="9" t="s">
        <v>57</v>
      </c>
    </row>
    <row r="161" spans="1:38" s="44" customFormat="1" ht="29.25" customHeight="1" x14ac:dyDescent="0.25">
      <c r="A161" s="36">
        <v>8</v>
      </c>
      <c r="B161" s="37"/>
      <c r="C161" s="47" t="str">
        <f>E144</f>
        <v>TECHNAL FXI</v>
      </c>
      <c r="D161" s="48"/>
      <c r="E161" s="36">
        <v>8402</v>
      </c>
      <c r="F161" s="39" t="str">
        <f>E143</f>
        <v>E5 Clair</v>
      </c>
      <c r="G161" s="49">
        <f>M140+82</f>
        <v>1129</v>
      </c>
      <c r="H161" s="49"/>
      <c r="I161" s="36">
        <f>0*E147</f>
        <v>0</v>
      </c>
      <c r="J161" s="50" t="s">
        <v>8</v>
      </c>
      <c r="K161" s="42"/>
      <c r="L161" s="43" t="s">
        <v>53</v>
      </c>
      <c r="M161" s="41"/>
      <c r="N161" s="37"/>
      <c r="O161" s="5"/>
      <c r="P161" s="5"/>
      <c r="Q161" s="5"/>
      <c r="R161" s="5"/>
      <c r="S161" s="5"/>
      <c r="T161" s="5"/>
      <c r="U161" s="5"/>
      <c r="V161" s="9" t="s">
        <v>54</v>
      </c>
      <c r="W161" s="9" t="str">
        <f>E148</f>
        <v>AJO 26 - 006</v>
      </c>
      <c r="X161" s="9" t="str">
        <f>D151&amp;"-"&amp;E151</f>
        <v>1-A2-W4</v>
      </c>
      <c r="Y161" s="9">
        <f t="shared" si="12"/>
        <v>8402</v>
      </c>
      <c r="Z161" s="9" t="str">
        <f t="shared" si="12"/>
        <v>E5 Clair</v>
      </c>
      <c r="AA161" s="9">
        <f t="shared" si="12"/>
        <v>1129</v>
      </c>
      <c r="AB161" s="9">
        <f t="shared" si="12"/>
        <v>0</v>
      </c>
      <c r="AC161" s="9">
        <f t="shared" si="12"/>
        <v>0</v>
      </c>
      <c r="AD161" s="9" t="str">
        <f t="shared" si="12"/>
        <v>mm</v>
      </c>
      <c r="AE161" s="9" t="str">
        <f t="shared" si="13"/>
        <v>-45.0/ 45.0</v>
      </c>
      <c r="AF161" s="9" t="str">
        <f>E141</f>
        <v>O-25035</v>
      </c>
      <c r="AG161" s="9" t="str">
        <f>E142</f>
        <v>Jad Abi Rizk</v>
      </c>
      <c r="AH161" s="9" t="str">
        <f t="shared" si="14"/>
        <v>TECHNAL FXI</v>
      </c>
      <c r="AI161" s="9" t="str">
        <f>E146</f>
        <v>32 mm</v>
      </c>
      <c r="AJ161" s="9">
        <f>E150</f>
        <v>1</v>
      </c>
      <c r="AK161" s="9">
        <f>E149</f>
        <v>0</v>
      </c>
      <c r="AL161" s="9" t="s">
        <v>57</v>
      </c>
    </row>
    <row r="162" spans="1:38" s="44" customFormat="1" ht="29.25" customHeight="1" x14ac:dyDescent="0.25">
      <c r="A162" s="36">
        <v>9</v>
      </c>
      <c r="B162" s="37"/>
      <c r="C162" s="37" t="s">
        <v>58</v>
      </c>
      <c r="D162" s="38"/>
      <c r="E162" s="36">
        <v>2271</v>
      </c>
      <c r="F162" s="39" t="str">
        <f>E143</f>
        <v>E5 Clair</v>
      </c>
      <c r="G162" s="40">
        <f>I144-144</f>
        <v>602</v>
      </c>
      <c r="H162" s="36"/>
      <c r="I162" s="36">
        <f>2*E147</f>
        <v>2</v>
      </c>
      <c r="J162" s="41" t="s">
        <v>8</v>
      </c>
      <c r="K162" s="42"/>
      <c r="L162" s="43" t="s">
        <v>59</v>
      </c>
      <c r="M162" s="41">
        <v>1</v>
      </c>
      <c r="N162" s="37"/>
      <c r="O162" s="5"/>
      <c r="P162" s="5"/>
      <c r="Q162" s="5"/>
      <c r="R162" s="5"/>
      <c r="S162" s="5"/>
      <c r="T162" s="5"/>
      <c r="U162" s="5"/>
      <c r="V162" s="9" t="s">
        <v>54</v>
      </c>
      <c r="W162" s="9" t="str">
        <f>E148</f>
        <v>AJO 26 - 006</v>
      </c>
      <c r="X162" s="9" t="str">
        <f>D151&amp;"-"&amp;E151</f>
        <v>1-A2-W4</v>
      </c>
      <c r="Y162" s="9">
        <f t="shared" si="12"/>
        <v>2271</v>
      </c>
      <c r="Z162" s="9" t="str">
        <f t="shared" si="12"/>
        <v>E5 Clair</v>
      </c>
      <c r="AA162" s="9">
        <f t="shared" si="12"/>
        <v>602</v>
      </c>
      <c r="AB162" s="9">
        <f t="shared" si="12"/>
        <v>0</v>
      </c>
      <c r="AC162" s="9">
        <f t="shared" si="12"/>
        <v>2</v>
      </c>
      <c r="AD162" s="9" t="str">
        <f t="shared" si="12"/>
        <v>mm</v>
      </c>
      <c r="AE162" s="9" t="str">
        <f t="shared" si="13"/>
        <v>0.0/ 0.0</v>
      </c>
      <c r="AF162" s="9" t="str">
        <f>E141</f>
        <v>O-25035</v>
      </c>
      <c r="AG162" s="9" t="str">
        <f>E142</f>
        <v>Jad Abi Rizk</v>
      </c>
      <c r="AH162" s="9" t="str">
        <f t="shared" si="14"/>
        <v>PARCLOSE</v>
      </c>
      <c r="AI162" s="9" t="str">
        <f>E146</f>
        <v>32 mm</v>
      </c>
      <c r="AJ162" s="9">
        <f>E150</f>
        <v>1</v>
      </c>
      <c r="AK162" s="9">
        <f>E149</f>
        <v>0</v>
      </c>
      <c r="AL162" s="9" t="s">
        <v>57</v>
      </c>
    </row>
    <row r="163" spans="1:38" s="44" customFormat="1" ht="29.25" customHeight="1" x14ac:dyDescent="0.25">
      <c r="A163" s="36">
        <v>10</v>
      </c>
      <c r="B163" s="37"/>
      <c r="C163" s="37" t="s">
        <v>58</v>
      </c>
      <c r="D163" s="38"/>
      <c r="E163" s="36">
        <v>2271</v>
      </c>
      <c r="F163" s="39" t="str">
        <f>E143</f>
        <v>E5 Clair</v>
      </c>
      <c r="G163" s="40">
        <f>IF(M162=1,M140-190,M140-144)</f>
        <v>857</v>
      </c>
      <c r="H163" s="36"/>
      <c r="I163" s="36">
        <f>2*E147</f>
        <v>2</v>
      </c>
      <c r="J163" s="41" t="s">
        <v>8</v>
      </c>
      <c r="K163" s="42"/>
      <c r="L163" s="43" t="s">
        <v>59</v>
      </c>
      <c r="M163" s="41"/>
      <c r="N163" s="37"/>
      <c r="O163" s="5"/>
      <c r="P163" s="5"/>
      <c r="Q163" s="5"/>
      <c r="R163" s="5"/>
      <c r="S163" s="5"/>
      <c r="T163" s="5"/>
      <c r="U163" s="5"/>
      <c r="V163" s="9" t="s">
        <v>54</v>
      </c>
      <c r="W163" s="9" t="str">
        <f>E148</f>
        <v>AJO 26 - 006</v>
      </c>
      <c r="X163" s="9" t="str">
        <f>D151&amp;"-"&amp;E151</f>
        <v>1-A2-W4</v>
      </c>
      <c r="Y163" s="9">
        <f t="shared" si="12"/>
        <v>2271</v>
      </c>
      <c r="Z163" s="9" t="str">
        <f t="shared" si="12"/>
        <v>E5 Clair</v>
      </c>
      <c r="AA163" s="9">
        <f t="shared" si="12"/>
        <v>857</v>
      </c>
      <c r="AB163" s="9">
        <f t="shared" si="12"/>
        <v>0</v>
      </c>
      <c r="AC163" s="9">
        <f t="shared" si="12"/>
        <v>2</v>
      </c>
      <c r="AD163" s="9" t="str">
        <f t="shared" si="12"/>
        <v>mm</v>
      </c>
      <c r="AE163" s="9" t="str">
        <f t="shared" si="13"/>
        <v>0.0/ 0.0</v>
      </c>
      <c r="AF163" s="9" t="str">
        <f>E141</f>
        <v>O-25035</v>
      </c>
      <c r="AG163" s="9" t="str">
        <f>E142</f>
        <v>Jad Abi Rizk</v>
      </c>
      <c r="AH163" s="9" t="str">
        <f t="shared" si="14"/>
        <v>PARCLOSE</v>
      </c>
      <c r="AI163" s="9" t="str">
        <f>E146</f>
        <v>32 mm</v>
      </c>
      <c r="AJ163" s="9">
        <f>E150</f>
        <v>1</v>
      </c>
      <c r="AK163" s="9">
        <f>E149</f>
        <v>0</v>
      </c>
      <c r="AL163" s="9" t="s">
        <v>57</v>
      </c>
    </row>
    <row r="164" spans="1:38" s="44" customFormat="1" ht="29.25" customHeight="1" x14ac:dyDescent="0.25">
      <c r="A164" s="36">
        <v>11</v>
      </c>
      <c r="B164" s="37"/>
      <c r="C164" s="37" t="str">
        <f>E144</f>
        <v>TECHNAL FXI</v>
      </c>
      <c r="D164" s="38"/>
      <c r="E164" s="36">
        <v>2010</v>
      </c>
      <c r="F164" s="39" t="str">
        <f>E143</f>
        <v>E5 Clair</v>
      </c>
      <c r="G164" s="40">
        <f>I144-22</f>
        <v>724</v>
      </c>
      <c r="H164" s="36"/>
      <c r="I164" s="36">
        <f>IF(M164=1,2*E147,0)</f>
        <v>0</v>
      </c>
      <c r="J164" s="41" t="s">
        <v>8</v>
      </c>
      <c r="K164" s="42"/>
      <c r="L164" s="43" t="s">
        <v>53</v>
      </c>
      <c r="M164" s="41"/>
      <c r="N164" s="37"/>
      <c r="O164" s="5"/>
      <c r="P164" s="5"/>
      <c r="Q164" s="5"/>
      <c r="R164" s="5"/>
      <c r="S164" s="5"/>
      <c r="T164" s="5"/>
      <c r="U164" s="5"/>
      <c r="V164" s="9" t="s">
        <v>54</v>
      </c>
      <c r="W164" s="9" t="str">
        <f>E148</f>
        <v>AJO 26 - 006</v>
      </c>
      <c r="X164" s="9" t="str">
        <f>D151&amp;"-"&amp;E151</f>
        <v>1-A2-W4</v>
      </c>
      <c r="Y164" s="9">
        <f t="shared" si="12"/>
        <v>2010</v>
      </c>
      <c r="Z164" s="9" t="str">
        <f t="shared" si="12"/>
        <v>E5 Clair</v>
      </c>
      <c r="AA164" s="9">
        <f t="shared" si="12"/>
        <v>724</v>
      </c>
      <c r="AB164" s="9">
        <f t="shared" si="12"/>
        <v>0</v>
      </c>
      <c r="AC164" s="9">
        <f t="shared" si="12"/>
        <v>0</v>
      </c>
      <c r="AD164" s="9" t="str">
        <f t="shared" si="12"/>
        <v>mm</v>
      </c>
      <c r="AE164" s="9" t="str">
        <f t="shared" si="13"/>
        <v>-45.0/ 45.0</v>
      </c>
      <c r="AF164" s="9" t="str">
        <f>E141</f>
        <v>O-25035</v>
      </c>
      <c r="AG164" s="9" t="str">
        <f>E142</f>
        <v>Jad Abi Rizk</v>
      </c>
      <c r="AH164" s="9" t="str">
        <f t="shared" si="14"/>
        <v>TECHNAL FXI</v>
      </c>
      <c r="AI164" s="9" t="str">
        <f>E146</f>
        <v>32 mm</v>
      </c>
      <c r="AJ164" s="9">
        <f>E150</f>
        <v>1</v>
      </c>
      <c r="AK164" s="9">
        <f>E149</f>
        <v>0</v>
      </c>
      <c r="AL164" s="9" t="s">
        <v>57</v>
      </c>
    </row>
    <row r="165" spans="1:38" s="44" customFormat="1" ht="29.25" customHeight="1" x14ac:dyDescent="0.25">
      <c r="A165" s="36">
        <v>12</v>
      </c>
      <c r="B165" s="37"/>
      <c r="C165" s="37" t="str">
        <f>E144</f>
        <v>TECHNAL FXI</v>
      </c>
      <c r="D165" s="38"/>
      <c r="E165" s="36">
        <v>2010</v>
      </c>
      <c r="F165" s="39" t="str">
        <f>E143</f>
        <v>E5 Clair</v>
      </c>
      <c r="G165" s="40">
        <f>M140-22</f>
        <v>1025</v>
      </c>
      <c r="H165" s="36"/>
      <c r="I165" s="36">
        <f>IF(M164=1,2*E147,0)</f>
        <v>0</v>
      </c>
      <c r="J165" s="41" t="s">
        <v>8</v>
      </c>
      <c r="K165" s="42"/>
      <c r="L165" s="43" t="s">
        <v>53</v>
      </c>
      <c r="M165" s="41"/>
      <c r="N165" s="37"/>
      <c r="O165" s="5"/>
      <c r="P165" s="5"/>
      <c r="Q165" s="5"/>
      <c r="R165" s="5"/>
      <c r="S165" s="5"/>
      <c r="T165" s="5"/>
      <c r="U165" s="5"/>
      <c r="V165" s="9" t="s">
        <v>54</v>
      </c>
      <c r="W165" s="9" t="str">
        <f>E148</f>
        <v>AJO 26 - 006</v>
      </c>
      <c r="X165" s="9" t="str">
        <f>D151&amp;"-"&amp;E151</f>
        <v>1-A2-W4</v>
      </c>
      <c r="Y165" s="9">
        <f t="shared" si="12"/>
        <v>2010</v>
      </c>
      <c r="Z165" s="9" t="str">
        <f t="shared" si="12"/>
        <v>E5 Clair</v>
      </c>
      <c r="AA165" s="9">
        <f t="shared" si="12"/>
        <v>1025</v>
      </c>
      <c r="AB165" s="9">
        <f t="shared" si="12"/>
        <v>0</v>
      </c>
      <c r="AC165" s="9">
        <f t="shared" si="12"/>
        <v>0</v>
      </c>
      <c r="AD165" s="9" t="str">
        <f t="shared" si="12"/>
        <v>mm</v>
      </c>
      <c r="AE165" s="9" t="str">
        <f t="shared" si="13"/>
        <v>-45.0/ 45.0</v>
      </c>
      <c r="AF165" s="9" t="str">
        <f>E141</f>
        <v>O-25035</v>
      </c>
      <c r="AG165" s="9" t="str">
        <f>E142</f>
        <v>Jad Abi Rizk</v>
      </c>
      <c r="AH165" s="9" t="str">
        <f t="shared" si="14"/>
        <v>TECHNAL FXI</v>
      </c>
      <c r="AI165" s="9" t="str">
        <f>E146</f>
        <v>32 mm</v>
      </c>
      <c r="AJ165" s="9">
        <f>E150</f>
        <v>1</v>
      </c>
      <c r="AK165" s="9">
        <f>E149</f>
        <v>0</v>
      </c>
      <c r="AL165" s="9" t="s">
        <v>57</v>
      </c>
    </row>
    <row r="166" spans="1:38" s="44" customFormat="1" ht="29.25" customHeight="1" x14ac:dyDescent="0.25">
      <c r="A166" s="36">
        <v>13</v>
      </c>
      <c r="B166" s="37"/>
      <c r="C166" s="47" t="str">
        <f>E144</f>
        <v>TECHNAL FXI</v>
      </c>
      <c r="D166" s="48"/>
      <c r="E166" s="39">
        <v>8015</v>
      </c>
      <c r="F166" s="39" t="str">
        <f>E143</f>
        <v>E5 Clair</v>
      </c>
      <c r="G166" s="49" t="s">
        <v>60</v>
      </c>
      <c r="H166" s="39"/>
      <c r="I166" s="51"/>
      <c r="J166" s="52" t="s">
        <v>8</v>
      </c>
      <c r="K166" s="42"/>
      <c r="L166" s="43" t="s">
        <v>59</v>
      </c>
      <c r="M166" s="41"/>
      <c r="N166" s="37"/>
      <c r="O166" s="5"/>
      <c r="P166" s="5"/>
      <c r="Q166" s="5"/>
      <c r="R166" s="5"/>
      <c r="S166" s="5"/>
      <c r="T166" s="5"/>
      <c r="U166" s="5"/>
      <c r="V166" s="9" t="s">
        <v>54</v>
      </c>
      <c r="W166" s="9" t="str">
        <f>E148</f>
        <v>AJO 26 - 006</v>
      </c>
      <c r="X166" s="9" t="str">
        <f>D151&amp;"-"&amp;E151</f>
        <v>1-A2-W4</v>
      </c>
      <c r="Y166" s="9">
        <f t="shared" si="12"/>
        <v>8015</v>
      </c>
      <c r="Z166" s="9" t="str">
        <f t="shared" si="12"/>
        <v>E5 Clair</v>
      </c>
      <c r="AA166" s="9" t="str">
        <f t="shared" si="12"/>
        <v>1H+ 1L</v>
      </c>
      <c r="AB166" s="9">
        <f t="shared" si="12"/>
        <v>0</v>
      </c>
      <c r="AC166" s="9">
        <f t="shared" si="12"/>
        <v>0</v>
      </c>
      <c r="AD166" s="9" t="str">
        <f t="shared" si="12"/>
        <v>mm</v>
      </c>
      <c r="AE166" s="9" t="str">
        <f t="shared" si="13"/>
        <v>0.0/ 0.0</v>
      </c>
      <c r="AF166" s="9" t="str">
        <f>E141</f>
        <v>O-25035</v>
      </c>
      <c r="AG166" s="9" t="str">
        <f>E142</f>
        <v>Jad Abi Rizk</v>
      </c>
      <c r="AH166" s="9" t="str">
        <f t="shared" si="14"/>
        <v>TECHNAL FXI</v>
      </c>
      <c r="AI166" s="9" t="str">
        <f>E146</f>
        <v>32 mm</v>
      </c>
      <c r="AJ166" s="9">
        <f>E150</f>
        <v>1</v>
      </c>
      <c r="AK166" s="9">
        <f>E149</f>
        <v>0</v>
      </c>
      <c r="AL166" s="9" t="s">
        <v>57</v>
      </c>
    </row>
    <row r="167" spans="1:38" s="44" customFormat="1" ht="29.25" hidden="1" customHeight="1" x14ac:dyDescent="0.25">
      <c r="A167" s="5"/>
      <c r="B167" s="13"/>
      <c r="C167" s="9"/>
      <c r="D167" s="53"/>
      <c r="E167" s="9"/>
      <c r="F167" s="9"/>
      <c r="G167" s="9"/>
      <c r="H167" s="9"/>
      <c r="I167" s="54"/>
      <c r="J167" s="54"/>
      <c r="K167" s="53"/>
      <c r="L167" s="53"/>
      <c r="M167" s="5"/>
      <c r="N167" s="5"/>
      <c r="O167" s="5"/>
      <c r="P167" s="5"/>
      <c r="Q167" s="5"/>
      <c r="R167" s="5"/>
      <c r="S167" s="5"/>
      <c r="T167" s="5"/>
      <c r="U167" s="5"/>
      <c r="V167" s="9" t="s">
        <v>54</v>
      </c>
      <c r="W167" s="9" t="str">
        <f>E148</f>
        <v>AJO 26 - 006</v>
      </c>
      <c r="X167" s="9" t="str">
        <f>D151&amp;"-"&amp;E151</f>
        <v>1-A2-W4</v>
      </c>
      <c r="Y167" s="9">
        <f t="shared" si="12"/>
        <v>0</v>
      </c>
      <c r="Z167" s="9">
        <f t="shared" si="12"/>
        <v>0</v>
      </c>
      <c r="AA167" s="9">
        <f t="shared" si="12"/>
        <v>0</v>
      </c>
      <c r="AB167" s="9">
        <f t="shared" si="12"/>
        <v>0</v>
      </c>
      <c r="AC167" s="9">
        <f t="shared" si="12"/>
        <v>0</v>
      </c>
      <c r="AD167" s="9">
        <f t="shared" si="12"/>
        <v>0</v>
      </c>
      <c r="AE167" s="9">
        <f t="shared" si="13"/>
        <v>0</v>
      </c>
      <c r="AF167" s="9" t="str">
        <f>E141</f>
        <v>O-25035</v>
      </c>
      <c r="AG167" s="9" t="str">
        <f>E142</f>
        <v>Jad Abi Rizk</v>
      </c>
      <c r="AH167" s="9">
        <f t="shared" si="14"/>
        <v>0</v>
      </c>
      <c r="AI167" s="9" t="str">
        <f>E146</f>
        <v>32 mm</v>
      </c>
      <c r="AJ167" s="9">
        <f>E150</f>
        <v>1</v>
      </c>
      <c r="AK167" s="9">
        <f>E149</f>
        <v>0</v>
      </c>
      <c r="AL167" s="9" t="s">
        <v>57</v>
      </c>
    </row>
    <row r="168" spans="1:38" s="44" customFormat="1" ht="29.25" hidden="1" customHeight="1" x14ac:dyDescent="0.25">
      <c r="A168" s="5"/>
      <c r="B168" s="13"/>
      <c r="C168" s="9"/>
      <c r="D168" s="53"/>
      <c r="E168" s="9"/>
      <c r="F168" s="9"/>
      <c r="G168" s="9"/>
      <c r="H168" s="9"/>
      <c r="I168" s="54"/>
      <c r="J168" s="54"/>
      <c r="K168" s="53"/>
      <c r="L168" s="53"/>
      <c r="M168" s="5"/>
      <c r="N168" s="5"/>
      <c r="O168" s="5"/>
      <c r="P168" s="5"/>
      <c r="Q168" s="5"/>
      <c r="R168" s="5"/>
      <c r="S168" s="5"/>
      <c r="T168" s="5"/>
      <c r="U168" s="5"/>
      <c r="V168" s="9" t="s">
        <v>54</v>
      </c>
      <c r="W168" s="9" t="str">
        <f>E148</f>
        <v>AJO 26 - 006</v>
      </c>
      <c r="X168" s="9" t="str">
        <f>D151&amp;"-"&amp;E151</f>
        <v>1-A2-W4</v>
      </c>
      <c r="Y168" s="9">
        <f t="shared" si="12"/>
        <v>0</v>
      </c>
      <c r="Z168" s="9">
        <f t="shared" si="12"/>
        <v>0</v>
      </c>
      <c r="AA168" s="9">
        <f t="shared" si="12"/>
        <v>0</v>
      </c>
      <c r="AB168" s="9">
        <f t="shared" si="12"/>
        <v>0</v>
      </c>
      <c r="AC168" s="9">
        <f t="shared" si="12"/>
        <v>0</v>
      </c>
      <c r="AD168" s="9">
        <f t="shared" si="12"/>
        <v>0</v>
      </c>
      <c r="AE168" s="9">
        <f t="shared" si="13"/>
        <v>0</v>
      </c>
      <c r="AF168" s="9" t="str">
        <f>E141</f>
        <v>O-25035</v>
      </c>
      <c r="AG168" s="9" t="str">
        <f>E142</f>
        <v>Jad Abi Rizk</v>
      </c>
      <c r="AH168" s="9">
        <f t="shared" si="14"/>
        <v>0</v>
      </c>
      <c r="AI168" s="9" t="str">
        <f>E146</f>
        <v>32 mm</v>
      </c>
      <c r="AJ168" s="9">
        <f>E150</f>
        <v>1</v>
      </c>
      <c r="AK168" s="9">
        <f>E149</f>
        <v>0</v>
      </c>
      <c r="AL168" s="9" t="s">
        <v>57</v>
      </c>
    </row>
    <row r="169" spans="1:38" s="44" customFormat="1" ht="29.25" hidden="1" customHeight="1" x14ac:dyDescent="0.25">
      <c r="A169" s="5"/>
      <c r="B169" s="13"/>
      <c r="C169" s="9"/>
      <c r="D169" s="53"/>
      <c r="E169" s="9"/>
      <c r="F169" s="9"/>
      <c r="G169" s="9"/>
      <c r="H169" s="9"/>
      <c r="I169" s="54"/>
      <c r="J169" s="54"/>
      <c r="K169" s="53"/>
      <c r="L169" s="53"/>
      <c r="M169" s="5"/>
      <c r="N169" s="5"/>
      <c r="O169" s="5"/>
      <c r="P169" s="5"/>
      <c r="Q169" s="5"/>
      <c r="R169" s="5"/>
      <c r="S169" s="5"/>
      <c r="T169" s="5"/>
      <c r="U169" s="5"/>
      <c r="V169" s="9" t="s">
        <v>54</v>
      </c>
      <c r="W169" s="9" t="str">
        <f>E148</f>
        <v>AJO 26 - 006</v>
      </c>
      <c r="X169" s="9" t="str">
        <f>D151&amp;"-"&amp;E151</f>
        <v>1-A2-W4</v>
      </c>
      <c r="Y169" s="9">
        <f t="shared" si="12"/>
        <v>0</v>
      </c>
      <c r="Z169" s="9">
        <f t="shared" si="12"/>
        <v>0</v>
      </c>
      <c r="AA169" s="9">
        <f t="shared" si="12"/>
        <v>0</v>
      </c>
      <c r="AB169" s="9">
        <f t="shared" si="12"/>
        <v>0</v>
      </c>
      <c r="AC169" s="9">
        <f t="shared" si="12"/>
        <v>0</v>
      </c>
      <c r="AD169" s="9">
        <f t="shared" si="12"/>
        <v>0</v>
      </c>
      <c r="AE169" s="9">
        <f t="shared" si="13"/>
        <v>0</v>
      </c>
      <c r="AF169" s="9" t="str">
        <f>E141</f>
        <v>O-25035</v>
      </c>
      <c r="AG169" s="9" t="str">
        <f>E142</f>
        <v>Jad Abi Rizk</v>
      </c>
      <c r="AH169" s="9">
        <f t="shared" si="14"/>
        <v>0</v>
      </c>
      <c r="AI169" s="9" t="str">
        <f>E146</f>
        <v>32 mm</v>
      </c>
      <c r="AJ169" s="9">
        <f>E150</f>
        <v>1</v>
      </c>
      <c r="AK169" s="9">
        <f>E149</f>
        <v>0</v>
      </c>
      <c r="AL169" s="9" t="s">
        <v>57</v>
      </c>
    </row>
    <row r="170" spans="1:38" s="44" customFormat="1" ht="29.25" hidden="1" customHeight="1" x14ac:dyDescent="0.25">
      <c r="A170" s="5"/>
      <c r="B170" s="13"/>
      <c r="C170" s="9"/>
      <c r="D170" s="53"/>
      <c r="E170" s="9"/>
      <c r="F170" s="9"/>
      <c r="G170" s="9"/>
      <c r="H170" s="9"/>
      <c r="I170" s="54"/>
      <c r="J170" s="54"/>
      <c r="K170" s="53"/>
      <c r="L170" s="53"/>
      <c r="M170" s="5"/>
      <c r="N170" s="5"/>
      <c r="O170" s="5"/>
      <c r="P170" s="5"/>
      <c r="Q170" s="5"/>
      <c r="R170" s="5"/>
      <c r="S170" s="5"/>
      <c r="T170" s="5"/>
      <c r="U170" s="5"/>
      <c r="V170" s="9" t="s">
        <v>54</v>
      </c>
      <c r="W170" s="9" t="str">
        <f>E148</f>
        <v>AJO 26 - 006</v>
      </c>
      <c r="X170" s="9" t="str">
        <f>D151&amp;"-"&amp;E151</f>
        <v>1-A2-W4</v>
      </c>
      <c r="Y170" s="9">
        <f t="shared" si="12"/>
        <v>0</v>
      </c>
      <c r="Z170" s="9">
        <f t="shared" si="12"/>
        <v>0</v>
      </c>
      <c r="AA170" s="9">
        <f t="shared" si="12"/>
        <v>0</v>
      </c>
      <c r="AB170" s="9">
        <f t="shared" si="12"/>
        <v>0</v>
      </c>
      <c r="AC170" s="9">
        <f t="shared" si="12"/>
        <v>0</v>
      </c>
      <c r="AD170" s="9">
        <f t="shared" si="12"/>
        <v>0</v>
      </c>
      <c r="AE170" s="9">
        <f t="shared" si="13"/>
        <v>0</v>
      </c>
      <c r="AF170" s="9" t="str">
        <f>E141</f>
        <v>O-25035</v>
      </c>
      <c r="AG170" s="9" t="str">
        <f>E142</f>
        <v>Jad Abi Rizk</v>
      </c>
      <c r="AH170" s="9">
        <f t="shared" si="14"/>
        <v>0</v>
      </c>
      <c r="AI170" s="9" t="str">
        <f>E146</f>
        <v>32 mm</v>
      </c>
      <c r="AJ170" s="9">
        <f>E150</f>
        <v>1</v>
      </c>
      <c r="AK170" s="9">
        <f>E149</f>
        <v>0</v>
      </c>
      <c r="AL170" s="9" t="s">
        <v>57</v>
      </c>
    </row>
    <row r="171" spans="1:38" s="44" customFormat="1" ht="29.25" hidden="1" customHeight="1" x14ac:dyDescent="0.25">
      <c r="A171" s="5"/>
      <c r="B171" s="13"/>
      <c r="C171" s="9"/>
      <c r="D171" s="53"/>
      <c r="E171" s="9"/>
      <c r="F171" s="9"/>
      <c r="G171" s="9"/>
      <c r="H171" s="9"/>
      <c r="I171" s="54"/>
      <c r="J171" s="54"/>
      <c r="K171" s="53"/>
      <c r="L171" s="53"/>
      <c r="M171" s="5"/>
      <c r="N171" s="5"/>
      <c r="O171" s="5"/>
      <c r="P171" s="5"/>
      <c r="Q171" s="5"/>
      <c r="R171" s="5"/>
      <c r="S171" s="5"/>
      <c r="T171" s="5"/>
      <c r="U171" s="5"/>
      <c r="V171" s="9" t="s">
        <v>54</v>
      </c>
      <c r="W171" s="9" t="str">
        <f>E148</f>
        <v>AJO 26 - 006</v>
      </c>
      <c r="X171" s="9" t="str">
        <f>D151&amp;"-"&amp;E151</f>
        <v>1-A2-W4</v>
      </c>
      <c r="Y171" s="9">
        <f t="shared" si="12"/>
        <v>0</v>
      </c>
      <c r="Z171" s="9">
        <f t="shared" si="12"/>
        <v>0</v>
      </c>
      <c r="AA171" s="9">
        <f t="shared" si="12"/>
        <v>0</v>
      </c>
      <c r="AB171" s="9">
        <f t="shared" si="12"/>
        <v>0</v>
      </c>
      <c r="AC171" s="9">
        <f t="shared" si="12"/>
        <v>0</v>
      </c>
      <c r="AD171" s="9">
        <f t="shared" si="12"/>
        <v>0</v>
      </c>
      <c r="AE171" s="9">
        <f t="shared" si="13"/>
        <v>0</v>
      </c>
      <c r="AF171" s="9" t="str">
        <f>E141</f>
        <v>O-25035</v>
      </c>
      <c r="AG171" s="9" t="str">
        <f>E142</f>
        <v>Jad Abi Rizk</v>
      </c>
      <c r="AH171" s="9">
        <f t="shared" si="14"/>
        <v>0</v>
      </c>
      <c r="AI171" s="9" t="str">
        <f>E146</f>
        <v>32 mm</v>
      </c>
      <c r="AJ171" s="9">
        <f>E150</f>
        <v>1</v>
      </c>
      <c r="AK171" s="9">
        <f>E149</f>
        <v>0</v>
      </c>
      <c r="AL171" s="9" t="s">
        <v>57</v>
      </c>
    </row>
    <row r="172" spans="1:38" s="44" customFormat="1" ht="29.25" hidden="1" customHeight="1" x14ac:dyDescent="0.25">
      <c r="A172" s="5"/>
      <c r="B172" s="13"/>
      <c r="C172" s="9"/>
      <c r="D172" s="53"/>
      <c r="E172" s="9"/>
      <c r="F172" s="9"/>
      <c r="G172" s="9"/>
      <c r="H172" s="9"/>
      <c r="I172" s="54"/>
      <c r="J172" s="54"/>
      <c r="K172" s="53"/>
      <c r="L172" s="53"/>
      <c r="M172" s="5"/>
      <c r="N172" s="5"/>
      <c r="O172" s="5"/>
      <c r="P172" s="5"/>
      <c r="Q172" s="5"/>
      <c r="R172" s="5"/>
      <c r="S172" s="5"/>
      <c r="T172" s="5"/>
      <c r="U172" s="5"/>
      <c r="V172" s="53"/>
      <c r="W172" s="55"/>
      <c r="X172" s="55"/>
      <c r="Y172" s="55"/>
      <c r="Z172" s="55"/>
      <c r="AA172" s="55"/>
      <c r="AB172" s="55"/>
      <c r="AC172" s="55"/>
      <c r="AD172" s="55"/>
      <c r="AE172" s="56"/>
      <c r="AF172" s="56"/>
      <c r="AG172" s="56"/>
      <c r="AH172" s="56"/>
      <c r="AI172" s="56"/>
      <c r="AJ172" s="56"/>
      <c r="AK172" s="56"/>
      <c r="AL172" s="56"/>
    </row>
    <row r="173" spans="1:38" s="44" customFormat="1" ht="29.25" hidden="1" customHeight="1" x14ac:dyDescent="0.25">
      <c r="A173" s="5"/>
      <c r="B173" s="13"/>
      <c r="C173" s="9"/>
      <c r="D173" s="53"/>
      <c r="E173" s="9"/>
      <c r="F173" s="9"/>
      <c r="G173" s="9"/>
      <c r="H173" s="9"/>
      <c r="I173" s="54"/>
      <c r="J173" s="54"/>
      <c r="K173" s="53"/>
      <c r="L173" s="53"/>
      <c r="M173" s="5"/>
      <c r="N173" s="5"/>
      <c r="O173" s="5"/>
      <c r="P173" s="5"/>
      <c r="Q173" s="5"/>
      <c r="R173" s="5"/>
      <c r="S173" s="5"/>
      <c r="T173" s="5"/>
      <c r="U173" s="5"/>
      <c r="V173" s="53"/>
      <c r="W173" s="55"/>
      <c r="X173" s="55"/>
      <c r="Y173" s="55"/>
      <c r="Z173" s="55"/>
      <c r="AA173" s="55"/>
      <c r="AB173" s="55"/>
      <c r="AC173" s="55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spans="1:38" s="44" customFormat="1" ht="29.25" hidden="1" customHeight="1" x14ac:dyDescent="0.25">
      <c r="A174" s="5"/>
      <c r="B174" s="13"/>
      <c r="C174" s="9"/>
      <c r="D174" s="53"/>
      <c r="E174" s="9"/>
      <c r="F174" s="9"/>
      <c r="G174" s="9"/>
      <c r="H174" s="9"/>
      <c r="I174" s="54"/>
      <c r="J174" s="54"/>
      <c r="K174" s="53"/>
      <c r="L174" s="53"/>
      <c r="M174" s="5"/>
      <c r="N174" s="5"/>
      <c r="O174" s="5"/>
      <c r="P174" s="5"/>
      <c r="Q174" s="5"/>
      <c r="R174" s="5"/>
      <c r="S174" s="5"/>
      <c r="T174" s="5"/>
      <c r="U174" s="5"/>
      <c r="V174" s="53"/>
      <c r="W174" s="55"/>
      <c r="X174" s="55"/>
      <c r="Y174" s="55"/>
      <c r="Z174" s="55"/>
      <c r="AA174" s="55"/>
      <c r="AB174" s="55"/>
      <c r="AC174" s="55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spans="1:38" s="59" customFormat="1" ht="29.1" customHeight="1" thickBot="1" x14ac:dyDescent="0.3">
      <c r="A175" s="57" t="s">
        <v>61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s="7" customFormat="1" ht="29.1" customHeight="1" thickBot="1" x14ac:dyDescent="0.3">
      <c r="A176" s="29" t="s">
        <v>33</v>
      </c>
      <c r="B176" s="30"/>
      <c r="C176" s="31" t="s">
        <v>34</v>
      </c>
      <c r="D176" s="32"/>
      <c r="E176" s="29" t="s">
        <v>62</v>
      </c>
      <c r="F176" s="29" t="s">
        <v>36</v>
      </c>
      <c r="G176" s="29" t="s">
        <v>37</v>
      </c>
      <c r="H176" s="29" t="s">
        <v>38</v>
      </c>
      <c r="I176" s="60" t="s">
        <v>27</v>
      </c>
      <c r="J176" s="60" t="s">
        <v>39</v>
      </c>
      <c r="K176" s="30"/>
      <c r="L176" s="32"/>
      <c r="M176" s="31" t="s">
        <v>63</v>
      </c>
      <c r="N176" s="34"/>
      <c r="O176" s="5"/>
      <c r="P176" s="5"/>
      <c r="Q176" s="5"/>
      <c r="R176" s="5"/>
      <c r="S176" s="5"/>
      <c r="T176" s="5"/>
      <c r="U176" s="5"/>
      <c r="V176" s="4"/>
      <c r="W176" s="4"/>
      <c r="X176" s="4"/>
      <c r="Y176" s="4"/>
      <c r="Z176" s="4"/>
      <c r="AA176" s="4"/>
      <c r="AB176" s="4"/>
      <c r="AC176" s="4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1:38" s="44" customFormat="1" ht="15.6" customHeight="1" x14ac:dyDescent="0.2">
      <c r="A177" s="51">
        <v>1</v>
      </c>
      <c r="B177" s="61"/>
      <c r="C177" s="47" t="str">
        <f>E144</f>
        <v>TECHNAL FXI</v>
      </c>
      <c r="D177" s="48"/>
      <c r="E177" s="39" t="s">
        <v>64</v>
      </c>
      <c r="F177" s="39"/>
      <c r="G177" s="39"/>
      <c r="H177" s="51"/>
      <c r="I177" s="39">
        <f>8*E147</f>
        <v>8</v>
      </c>
      <c r="J177" s="39" t="s">
        <v>65</v>
      </c>
      <c r="K177" s="62"/>
      <c r="L177" s="63"/>
      <c r="M177" s="5"/>
      <c r="N177" s="5"/>
      <c r="O177" s="5"/>
      <c r="P177" s="5"/>
      <c r="Q177" s="5"/>
      <c r="R177" s="5"/>
      <c r="S177" s="5"/>
      <c r="T177" s="5"/>
      <c r="U177" s="5"/>
      <c r="V177" s="35" t="s">
        <v>66</v>
      </c>
      <c r="W177" s="9" t="str">
        <f>E148</f>
        <v>AJO 26 - 006</v>
      </c>
      <c r="X177" s="9" t="str">
        <f>D151&amp;"-"&amp;E151</f>
        <v>1-A2-W4</v>
      </c>
      <c r="Y177" s="9" t="str">
        <f t="shared" ref="Y177:AD200" si="15">E177</f>
        <v>EE001</v>
      </c>
      <c r="Z177" s="9">
        <f t="shared" si="15"/>
        <v>0</v>
      </c>
      <c r="AA177" s="9">
        <f t="shared" si="15"/>
        <v>0</v>
      </c>
      <c r="AB177" s="9">
        <f t="shared" si="15"/>
        <v>0</v>
      </c>
      <c r="AC177" s="9">
        <f t="shared" si="15"/>
        <v>8</v>
      </c>
      <c r="AD177" s="9" t="str">
        <f t="shared" si="15"/>
        <v>pcs</v>
      </c>
      <c r="AE177" s="9">
        <f t="shared" ref="AE177:AE200" si="16">L177</f>
        <v>0</v>
      </c>
      <c r="AF177" s="9" t="str">
        <f>E141</f>
        <v>O-25035</v>
      </c>
      <c r="AG177" s="9" t="str">
        <f>E142</f>
        <v>Jad Abi Rizk</v>
      </c>
      <c r="AH177" s="9" t="str">
        <f t="shared" ref="AH177:AH200" si="17">C177</f>
        <v>TECHNAL FXI</v>
      </c>
      <c r="AI177" s="9" t="str">
        <f>E146</f>
        <v>32 mm</v>
      </c>
      <c r="AJ177" s="9">
        <f>E150</f>
        <v>1</v>
      </c>
      <c r="AK177" s="9">
        <f>E149</f>
        <v>0</v>
      </c>
      <c r="AL177" s="9" t="s">
        <v>57</v>
      </c>
    </row>
    <row r="178" spans="1:38" s="44" customFormat="1" ht="15.6" customHeight="1" x14ac:dyDescent="0.2">
      <c r="A178" s="51">
        <v>2</v>
      </c>
      <c r="B178" s="61"/>
      <c r="C178" s="47" t="str">
        <f>E144</f>
        <v>TECHNAL FXI</v>
      </c>
      <c r="D178" s="48"/>
      <c r="E178" s="39" t="s">
        <v>67</v>
      </c>
      <c r="F178" s="39"/>
      <c r="G178" s="39"/>
      <c r="H178" s="39"/>
      <c r="I178" s="39">
        <f>4*E147</f>
        <v>4</v>
      </c>
      <c r="J178" s="39" t="s">
        <v>65</v>
      </c>
      <c r="K178" s="62"/>
      <c r="L178" s="64"/>
      <c r="M178" s="37"/>
      <c r="N178" s="37"/>
      <c r="O178" s="5"/>
      <c r="P178" s="5"/>
      <c r="Q178" s="5"/>
      <c r="R178" s="5"/>
      <c r="S178" s="5"/>
      <c r="T178" s="5"/>
      <c r="U178" s="5"/>
      <c r="V178" s="35" t="s">
        <v>66</v>
      </c>
      <c r="W178" s="9" t="str">
        <f>E148</f>
        <v>AJO 26 - 006</v>
      </c>
      <c r="X178" s="9" t="str">
        <f>D151&amp;"-"&amp;E151</f>
        <v>1-A2-W4</v>
      </c>
      <c r="Y178" s="9" t="str">
        <f t="shared" si="15"/>
        <v>CF005</v>
      </c>
      <c r="Z178" s="9">
        <f t="shared" si="15"/>
        <v>0</v>
      </c>
      <c r="AA178" s="9">
        <f t="shared" si="15"/>
        <v>0</v>
      </c>
      <c r="AB178" s="9">
        <f t="shared" si="15"/>
        <v>0</v>
      </c>
      <c r="AC178" s="9">
        <f t="shared" si="15"/>
        <v>4</v>
      </c>
      <c r="AD178" s="9" t="str">
        <f t="shared" si="15"/>
        <v>pcs</v>
      </c>
      <c r="AE178" s="9">
        <f t="shared" si="16"/>
        <v>0</v>
      </c>
      <c r="AF178" s="9" t="str">
        <f>E141</f>
        <v>O-25035</v>
      </c>
      <c r="AG178" s="9" t="str">
        <f>E142</f>
        <v>Jad Abi Rizk</v>
      </c>
      <c r="AH178" s="9" t="str">
        <f t="shared" si="17"/>
        <v>TECHNAL FXI</v>
      </c>
      <c r="AI178" s="9" t="str">
        <f>E146</f>
        <v>32 mm</v>
      </c>
      <c r="AJ178" s="9">
        <f>E150</f>
        <v>1</v>
      </c>
      <c r="AK178" s="9">
        <f>E149</f>
        <v>0</v>
      </c>
      <c r="AL178" s="9" t="s">
        <v>57</v>
      </c>
    </row>
    <row r="179" spans="1:38" s="44" customFormat="1" ht="15.6" customHeight="1" x14ac:dyDescent="0.2">
      <c r="A179" s="51">
        <v>3</v>
      </c>
      <c r="B179" s="61"/>
      <c r="C179" s="47" t="str">
        <f>E144</f>
        <v>TECHNAL FXI</v>
      </c>
      <c r="D179" s="48"/>
      <c r="E179" s="39" t="s">
        <v>68</v>
      </c>
      <c r="F179" s="39"/>
      <c r="G179" s="39"/>
      <c r="H179" s="51"/>
      <c r="I179" s="39">
        <f>2*E147</f>
        <v>2</v>
      </c>
      <c r="J179" s="39" t="s">
        <v>65</v>
      </c>
      <c r="K179" s="62"/>
      <c r="L179" s="64"/>
      <c r="M179" s="5"/>
      <c r="N179" s="5"/>
      <c r="O179" s="5"/>
      <c r="P179" s="5"/>
      <c r="Q179" s="5"/>
      <c r="R179" s="5"/>
      <c r="S179" s="5"/>
      <c r="T179" s="5"/>
      <c r="U179" s="5"/>
      <c r="V179" s="35" t="s">
        <v>66</v>
      </c>
      <c r="W179" s="9" t="str">
        <f>E148</f>
        <v>AJO 26 - 006</v>
      </c>
      <c r="X179" s="9" t="str">
        <f>D151&amp;"-"&amp;E151</f>
        <v>1-A2-W4</v>
      </c>
      <c r="Y179" s="9" t="str">
        <f t="shared" si="15"/>
        <v>CF018</v>
      </c>
      <c r="Z179" s="9">
        <f t="shared" si="15"/>
        <v>0</v>
      </c>
      <c r="AA179" s="9">
        <f t="shared" si="15"/>
        <v>0</v>
      </c>
      <c r="AB179" s="9">
        <f t="shared" si="15"/>
        <v>0</v>
      </c>
      <c r="AC179" s="9">
        <f t="shared" si="15"/>
        <v>2</v>
      </c>
      <c r="AD179" s="9" t="str">
        <f t="shared" si="15"/>
        <v>pcs</v>
      </c>
      <c r="AE179" s="9">
        <f t="shared" si="16"/>
        <v>0</v>
      </c>
      <c r="AF179" s="9" t="str">
        <f>E141</f>
        <v>O-25035</v>
      </c>
      <c r="AG179" s="9" t="str">
        <f>E142</f>
        <v>Jad Abi Rizk</v>
      </c>
      <c r="AH179" s="9" t="str">
        <f t="shared" si="17"/>
        <v>TECHNAL FXI</v>
      </c>
      <c r="AI179" s="9" t="str">
        <f>E146</f>
        <v>32 mm</v>
      </c>
      <c r="AJ179" s="9">
        <f>E150</f>
        <v>1</v>
      </c>
      <c r="AK179" s="9">
        <f>E149</f>
        <v>0</v>
      </c>
      <c r="AL179" s="9" t="s">
        <v>57</v>
      </c>
    </row>
    <row r="180" spans="1:38" s="44" customFormat="1" ht="15.6" customHeight="1" x14ac:dyDescent="0.2">
      <c r="A180" s="51">
        <v>4</v>
      </c>
      <c r="B180" s="61"/>
      <c r="C180" s="47" t="str">
        <f>E144</f>
        <v>TECHNAL FXI</v>
      </c>
      <c r="D180" s="48"/>
      <c r="E180" s="39" t="s">
        <v>69</v>
      </c>
      <c r="F180" s="39"/>
      <c r="G180" s="39"/>
      <c r="H180" s="51"/>
      <c r="I180" s="39">
        <f>8*E147</f>
        <v>8</v>
      </c>
      <c r="J180" s="39" t="s">
        <v>65</v>
      </c>
      <c r="K180" s="62"/>
      <c r="L180" s="64"/>
      <c r="M180" s="37"/>
      <c r="N180" s="37"/>
      <c r="O180" s="5"/>
      <c r="P180" s="5"/>
      <c r="Q180" s="5"/>
      <c r="R180" s="5"/>
      <c r="S180" s="5"/>
      <c r="T180" s="5"/>
      <c r="U180" s="5"/>
      <c r="V180" s="35" t="s">
        <v>66</v>
      </c>
      <c r="W180" s="9" t="str">
        <f>E148</f>
        <v>AJO 26 - 006</v>
      </c>
      <c r="X180" s="9" t="str">
        <f>D151&amp;"-"&amp;E151</f>
        <v>1-A2-W4</v>
      </c>
      <c r="Y180" s="9" t="str">
        <f t="shared" si="15"/>
        <v>CF023</v>
      </c>
      <c r="Z180" s="9">
        <f t="shared" si="15"/>
        <v>0</v>
      </c>
      <c r="AA180" s="9">
        <f t="shared" si="15"/>
        <v>0</v>
      </c>
      <c r="AB180" s="9">
        <f t="shared" si="15"/>
        <v>0</v>
      </c>
      <c r="AC180" s="9">
        <f t="shared" si="15"/>
        <v>8</v>
      </c>
      <c r="AD180" s="9" t="str">
        <f t="shared" si="15"/>
        <v>pcs</v>
      </c>
      <c r="AE180" s="9">
        <f t="shared" si="16"/>
        <v>0</v>
      </c>
      <c r="AF180" s="9" t="str">
        <f>E141</f>
        <v>O-25035</v>
      </c>
      <c r="AG180" s="9" t="str">
        <f>E142</f>
        <v>Jad Abi Rizk</v>
      </c>
      <c r="AH180" s="9" t="str">
        <f t="shared" si="17"/>
        <v>TECHNAL FXI</v>
      </c>
      <c r="AI180" s="9" t="str">
        <f>E146</f>
        <v>32 mm</v>
      </c>
      <c r="AJ180" s="9">
        <f>E150</f>
        <v>1</v>
      </c>
      <c r="AK180" s="9">
        <f>E149</f>
        <v>0</v>
      </c>
      <c r="AL180" s="9" t="s">
        <v>57</v>
      </c>
    </row>
    <row r="181" spans="1:38" s="44" customFormat="1" ht="15.6" customHeight="1" x14ac:dyDescent="0.2">
      <c r="A181" s="51">
        <v>5</v>
      </c>
      <c r="B181" s="61"/>
      <c r="C181" s="47" t="str">
        <f>E144</f>
        <v>TECHNAL FXI</v>
      </c>
      <c r="D181" s="48"/>
      <c r="E181" s="39" t="s">
        <v>70</v>
      </c>
      <c r="F181" s="39"/>
      <c r="G181" s="39"/>
      <c r="H181" s="51"/>
      <c r="I181" s="39">
        <f>1*E147</f>
        <v>1</v>
      </c>
      <c r="J181" s="39" t="s">
        <v>65</v>
      </c>
      <c r="K181" s="62"/>
      <c r="L181" s="64"/>
      <c r="M181" s="5"/>
      <c r="N181" s="5"/>
      <c r="O181" s="5"/>
      <c r="P181" s="5"/>
      <c r="Q181" s="5"/>
      <c r="R181" s="5"/>
      <c r="S181" s="5"/>
      <c r="T181" s="5"/>
      <c r="U181" s="5"/>
      <c r="V181" s="35" t="s">
        <v>66</v>
      </c>
      <c r="W181" s="9" t="str">
        <f>E148</f>
        <v>AJO 26 - 006</v>
      </c>
      <c r="X181" s="9" t="str">
        <f>D151&amp;"-"&amp;E151</f>
        <v>1-A2-W4</v>
      </c>
      <c r="Y181" s="9" t="str">
        <f t="shared" si="15"/>
        <v>KF012</v>
      </c>
      <c r="Z181" s="9">
        <f t="shared" si="15"/>
        <v>0</v>
      </c>
      <c r="AA181" s="9">
        <f t="shared" si="15"/>
        <v>0</v>
      </c>
      <c r="AB181" s="9">
        <f t="shared" si="15"/>
        <v>0</v>
      </c>
      <c r="AC181" s="9">
        <f t="shared" si="15"/>
        <v>1</v>
      </c>
      <c r="AD181" s="9" t="str">
        <f t="shared" si="15"/>
        <v>pcs</v>
      </c>
      <c r="AE181" s="9">
        <f t="shared" si="16"/>
        <v>0</v>
      </c>
      <c r="AF181" s="9" t="str">
        <f>E141</f>
        <v>O-25035</v>
      </c>
      <c r="AG181" s="9" t="str">
        <f>E142</f>
        <v>Jad Abi Rizk</v>
      </c>
      <c r="AH181" s="9" t="str">
        <f t="shared" si="17"/>
        <v>TECHNAL FXI</v>
      </c>
      <c r="AI181" s="9" t="str">
        <f>E146</f>
        <v>32 mm</v>
      </c>
      <c r="AJ181" s="9">
        <f>E150</f>
        <v>1</v>
      </c>
      <c r="AK181" s="9">
        <f>E149</f>
        <v>0</v>
      </c>
      <c r="AL181" s="9">
        <f>M146</f>
        <v>300</v>
      </c>
    </row>
    <row r="182" spans="1:38" s="44" customFormat="1" ht="15.6" customHeight="1" x14ac:dyDescent="0.2">
      <c r="A182" s="51">
        <v>6</v>
      </c>
      <c r="B182" s="61"/>
      <c r="C182" s="47" t="str">
        <f>E144</f>
        <v>TECHNAL FXI</v>
      </c>
      <c r="D182" s="48"/>
      <c r="E182" s="39" t="s">
        <v>71</v>
      </c>
      <c r="F182" s="39"/>
      <c r="G182" s="39"/>
      <c r="H182" s="51"/>
      <c r="I182" s="39">
        <f>1*E147</f>
        <v>1</v>
      </c>
      <c r="J182" s="39" t="s">
        <v>65</v>
      </c>
      <c r="K182" s="62"/>
      <c r="L182" s="64"/>
      <c r="M182" s="65"/>
      <c r="N182" s="37"/>
      <c r="O182" s="5"/>
      <c r="P182" s="5"/>
      <c r="Q182" s="5"/>
      <c r="R182" s="5"/>
      <c r="S182" s="5"/>
      <c r="T182" s="5"/>
      <c r="U182" s="5"/>
      <c r="V182" s="35" t="s">
        <v>66</v>
      </c>
      <c r="W182" s="9" t="str">
        <f>E148</f>
        <v>AJO 26 - 006</v>
      </c>
      <c r="X182" s="9" t="str">
        <f>D151&amp;"-"&amp;E151</f>
        <v>1-A2-W4</v>
      </c>
      <c r="Y182" s="9" t="str">
        <f t="shared" si="15"/>
        <v>KF037</v>
      </c>
      <c r="Z182" s="9">
        <f t="shared" si="15"/>
        <v>0</v>
      </c>
      <c r="AA182" s="9">
        <f t="shared" si="15"/>
        <v>0</v>
      </c>
      <c r="AB182" s="9">
        <f t="shared" si="15"/>
        <v>0</v>
      </c>
      <c r="AC182" s="9">
        <f t="shared" si="15"/>
        <v>1</v>
      </c>
      <c r="AD182" s="9" t="str">
        <f t="shared" si="15"/>
        <v>pcs</v>
      </c>
      <c r="AE182" s="9">
        <f t="shared" si="16"/>
        <v>0</v>
      </c>
      <c r="AF182" s="9" t="str">
        <f>E141</f>
        <v>O-25035</v>
      </c>
      <c r="AG182" s="9" t="str">
        <f>E142</f>
        <v>Jad Abi Rizk</v>
      </c>
      <c r="AH182" s="9" t="str">
        <f t="shared" si="17"/>
        <v>TECHNAL FXI</v>
      </c>
      <c r="AI182" s="9" t="str">
        <f>E146</f>
        <v>32 mm</v>
      </c>
      <c r="AJ182" s="9">
        <f>E150</f>
        <v>1</v>
      </c>
      <c r="AK182" s="9">
        <f>E149</f>
        <v>0</v>
      </c>
      <c r="AL182" s="9">
        <f>M146</f>
        <v>300</v>
      </c>
    </row>
    <row r="183" spans="1:38" s="44" customFormat="1" ht="15.6" customHeight="1" x14ac:dyDescent="0.2">
      <c r="A183" s="51">
        <v>7</v>
      </c>
      <c r="B183" s="61"/>
      <c r="C183" s="47" t="str">
        <f>E144</f>
        <v>TECHNAL FXI</v>
      </c>
      <c r="D183" s="48"/>
      <c r="E183" s="39" t="s">
        <v>72</v>
      </c>
      <c r="F183" s="39"/>
      <c r="G183" s="39"/>
      <c r="H183" s="51"/>
      <c r="I183" s="39">
        <f>2*E147</f>
        <v>2</v>
      </c>
      <c r="J183" s="39" t="s">
        <v>65</v>
      </c>
      <c r="K183" s="62"/>
      <c r="L183" s="64"/>
      <c r="M183" s="65"/>
      <c r="N183" s="5"/>
      <c r="O183" s="5"/>
      <c r="P183" s="5"/>
      <c r="Q183" s="5"/>
      <c r="R183" s="5"/>
      <c r="S183" s="5"/>
      <c r="T183" s="5"/>
      <c r="U183" s="5"/>
      <c r="V183" s="35" t="s">
        <v>66</v>
      </c>
      <c r="W183" s="9" t="str">
        <f>E148</f>
        <v>AJO 26 - 006</v>
      </c>
      <c r="X183" s="9" t="str">
        <f>D151&amp;"-"&amp;E151</f>
        <v>1-A2-W4</v>
      </c>
      <c r="Y183" s="9" t="str">
        <f t="shared" si="15"/>
        <v>CF019</v>
      </c>
      <c r="Z183" s="9">
        <f t="shared" si="15"/>
        <v>0</v>
      </c>
      <c r="AA183" s="9">
        <f t="shared" si="15"/>
        <v>0</v>
      </c>
      <c r="AB183" s="9">
        <f t="shared" si="15"/>
        <v>0</v>
      </c>
      <c r="AC183" s="9">
        <f t="shared" si="15"/>
        <v>2</v>
      </c>
      <c r="AD183" s="9" t="str">
        <f t="shared" si="15"/>
        <v>pcs</v>
      </c>
      <c r="AE183" s="9">
        <f t="shared" si="16"/>
        <v>0</v>
      </c>
      <c r="AF183" s="9" t="str">
        <f>E141</f>
        <v>O-25035</v>
      </c>
      <c r="AG183" s="9" t="str">
        <f>E142</f>
        <v>Jad Abi Rizk</v>
      </c>
      <c r="AH183" s="9" t="str">
        <f t="shared" si="17"/>
        <v>TECHNAL FXI</v>
      </c>
      <c r="AI183" s="9" t="str">
        <f>E146</f>
        <v>32 mm</v>
      </c>
      <c r="AJ183" s="9">
        <f>E150</f>
        <v>1</v>
      </c>
      <c r="AK183" s="9">
        <f>E149</f>
        <v>0</v>
      </c>
      <c r="AL183" s="9" t="s">
        <v>57</v>
      </c>
    </row>
    <row r="184" spans="1:38" s="44" customFormat="1" ht="15.6" customHeight="1" x14ac:dyDescent="0.2">
      <c r="A184" s="51">
        <v>8</v>
      </c>
      <c r="B184" s="61"/>
      <c r="C184" s="47" t="str">
        <f>E144</f>
        <v>TECHNAL FXI</v>
      </c>
      <c r="D184" s="48"/>
      <c r="E184" s="39" t="s">
        <v>73</v>
      </c>
      <c r="F184" s="39"/>
      <c r="G184" s="39"/>
      <c r="H184" s="51"/>
      <c r="I184" s="39">
        <f>1*E147</f>
        <v>1</v>
      </c>
      <c r="J184" s="39" t="s">
        <v>65</v>
      </c>
      <c r="K184" s="62"/>
      <c r="L184" s="64"/>
      <c r="M184" s="65"/>
      <c r="N184" s="37"/>
      <c r="O184" s="5"/>
      <c r="P184" s="5"/>
      <c r="Q184" s="5"/>
      <c r="R184" s="5"/>
      <c r="S184" s="5"/>
      <c r="T184" s="5"/>
      <c r="U184" s="5"/>
      <c r="V184" s="35" t="s">
        <v>66</v>
      </c>
      <c r="W184" s="9" t="str">
        <f>E148</f>
        <v>AJO 26 - 006</v>
      </c>
      <c r="X184" s="9" t="str">
        <f>D151&amp;"-"&amp;E151</f>
        <v>1-A2-W4</v>
      </c>
      <c r="Y184" s="9" t="str">
        <f t="shared" si="15"/>
        <v>CF013</v>
      </c>
      <c r="Z184" s="9">
        <f t="shared" si="15"/>
        <v>0</v>
      </c>
      <c r="AA184" s="9">
        <f t="shared" si="15"/>
        <v>0</v>
      </c>
      <c r="AB184" s="9">
        <f t="shared" si="15"/>
        <v>0</v>
      </c>
      <c r="AC184" s="9">
        <f t="shared" si="15"/>
        <v>1</v>
      </c>
      <c r="AD184" s="9" t="str">
        <f t="shared" si="15"/>
        <v>pcs</v>
      </c>
      <c r="AE184" s="9">
        <f t="shared" si="16"/>
        <v>0</v>
      </c>
      <c r="AF184" s="9" t="str">
        <f>E141</f>
        <v>O-25035</v>
      </c>
      <c r="AG184" s="9" t="str">
        <f>E142</f>
        <v>Jad Abi Rizk</v>
      </c>
      <c r="AH184" s="9" t="str">
        <f t="shared" si="17"/>
        <v>TECHNAL FXI</v>
      </c>
      <c r="AI184" s="9" t="str">
        <f>E146</f>
        <v>32 mm</v>
      </c>
      <c r="AJ184" s="9">
        <f>E150</f>
        <v>1</v>
      </c>
      <c r="AK184" s="9">
        <f>E149</f>
        <v>0</v>
      </c>
      <c r="AL184" s="9" t="s">
        <v>57</v>
      </c>
    </row>
    <row r="185" spans="1:38" s="44" customFormat="1" ht="15.6" customHeight="1" x14ac:dyDescent="0.2">
      <c r="A185" s="51">
        <v>9</v>
      </c>
      <c r="B185" s="61"/>
      <c r="C185" s="47" t="str">
        <f>E144</f>
        <v>TECHNAL FXI</v>
      </c>
      <c r="D185" s="48"/>
      <c r="E185" s="39" t="s">
        <v>74</v>
      </c>
      <c r="F185" s="39"/>
      <c r="G185" s="39"/>
      <c r="H185" s="51"/>
      <c r="I185" s="39">
        <f>1*E147</f>
        <v>1</v>
      </c>
      <c r="J185" s="39" t="s">
        <v>65</v>
      </c>
      <c r="K185" s="62"/>
      <c r="L185" s="64"/>
      <c r="M185" s="65"/>
      <c r="N185" s="5"/>
      <c r="O185" s="5"/>
      <c r="P185" s="5"/>
      <c r="Q185" s="5"/>
      <c r="R185" s="5"/>
      <c r="S185" s="5"/>
      <c r="T185" s="5"/>
      <c r="U185" s="5"/>
      <c r="V185" s="35" t="s">
        <v>66</v>
      </c>
      <c r="W185" s="9" t="str">
        <f>E148</f>
        <v>AJO 26 - 006</v>
      </c>
      <c r="X185" s="9" t="str">
        <f>D151&amp;"-"&amp;E151</f>
        <v>1-A2-W4</v>
      </c>
      <c r="Y185" s="9" t="str">
        <f t="shared" si="15"/>
        <v>KF030</v>
      </c>
      <c r="Z185" s="9">
        <f t="shared" si="15"/>
        <v>0</v>
      </c>
      <c r="AA185" s="9">
        <f t="shared" si="15"/>
        <v>0</v>
      </c>
      <c r="AB185" s="9">
        <f t="shared" si="15"/>
        <v>0</v>
      </c>
      <c r="AC185" s="9">
        <f t="shared" si="15"/>
        <v>1</v>
      </c>
      <c r="AD185" s="9" t="str">
        <f t="shared" si="15"/>
        <v>pcs</v>
      </c>
      <c r="AE185" s="9">
        <f t="shared" si="16"/>
        <v>0</v>
      </c>
      <c r="AF185" s="9" t="str">
        <f>E141</f>
        <v>O-25035</v>
      </c>
      <c r="AG185" s="9" t="str">
        <f>E142</f>
        <v>Jad Abi Rizk</v>
      </c>
      <c r="AH185" s="9" t="str">
        <f t="shared" si="17"/>
        <v>TECHNAL FXI</v>
      </c>
      <c r="AI185" s="9" t="str">
        <f>E146</f>
        <v>32 mm</v>
      </c>
      <c r="AJ185" s="9">
        <f>E150</f>
        <v>1</v>
      </c>
      <c r="AK185" s="9">
        <f>E149</f>
        <v>0</v>
      </c>
      <c r="AL185" s="9">
        <f>M146</f>
        <v>300</v>
      </c>
    </row>
    <row r="186" spans="1:38" s="44" customFormat="1" ht="15.6" customHeight="1" x14ac:dyDescent="0.2">
      <c r="A186" s="51">
        <v>10</v>
      </c>
      <c r="B186" s="61"/>
      <c r="C186" s="47" t="str">
        <f>E144</f>
        <v>TECHNAL FXI</v>
      </c>
      <c r="D186" s="48"/>
      <c r="E186" s="39" t="s">
        <v>75</v>
      </c>
      <c r="F186" s="39"/>
      <c r="G186" s="66"/>
      <c r="H186" s="66"/>
      <c r="I186" s="66">
        <f>(2*I144+2*M140)*E147</f>
        <v>3586</v>
      </c>
      <c r="J186" s="39" t="s">
        <v>8</v>
      </c>
      <c r="K186" s="62"/>
      <c r="L186" s="64"/>
      <c r="M186" s="37"/>
      <c r="N186" s="37"/>
      <c r="O186" s="5"/>
      <c r="P186" s="5"/>
      <c r="Q186" s="5"/>
      <c r="R186" s="5"/>
      <c r="S186" s="5"/>
      <c r="T186" s="5"/>
      <c r="U186" s="5"/>
      <c r="V186" s="35" t="s">
        <v>66</v>
      </c>
      <c r="W186" s="9" t="str">
        <f>E148</f>
        <v>AJO 26 - 006</v>
      </c>
      <c r="X186" s="9" t="str">
        <f>D151&amp;"-"&amp;E151</f>
        <v>1-A2-W4</v>
      </c>
      <c r="Y186" s="9" t="str">
        <f t="shared" si="15"/>
        <v>JF001</v>
      </c>
      <c r="Z186" s="9">
        <f t="shared" si="15"/>
        <v>0</v>
      </c>
      <c r="AA186" s="9">
        <f t="shared" si="15"/>
        <v>0</v>
      </c>
      <c r="AB186" s="9">
        <f t="shared" si="15"/>
        <v>0</v>
      </c>
      <c r="AC186" s="9">
        <f t="shared" si="15"/>
        <v>3586</v>
      </c>
      <c r="AD186" s="9" t="str">
        <f t="shared" si="15"/>
        <v>mm</v>
      </c>
      <c r="AE186" s="9">
        <f t="shared" si="16"/>
        <v>0</v>
      </c>
      <c r="AF186" s="9" t="str">
        <f>E141</f>
        <v>O-25035</v>
      </c>
      <c r="AG186" s="9" t="str">
        <f>E142</f>
        <v>Jad Abi Rizk</v>
      </c>
      <c r="AH186" s="9" t="str">
        <f t="shared" si="17"/>
        <v>TECHNAL FXI</v>
      </c>
      <c r="AI186" s="9" t="str">
        <f>E146</f>
        <v>32 mm</v>
      </c>
      <c r="AJ186" s="9">
        <f>E150</f>
        <v>1</v>
      </c>
      <c r="AK186" s="9">
        <f>E149</f>
        <v>0</v>
      </c>
      <c r="AL186" s="9" t="s">
        <v>57</v>
      </c>
    </row>
    <row r="187" spans="1:38" s="44" customFormat="1" ht="15.6" customHeight="1" x14ac:dyDescent="0.2">
      <c r="A187" s="51">
        <v>11</v>
      </c>
      <c r="B187" s="61"/>
      <c r="C187" s="47" t="str">
        <f>E144</f>
        <v>TECHNAL FXI</v>
      </c>
      <c r="D187" s="48"/>
      <c r="E187" s="39" t="s">
        <v>76</v>
      </c>
      <c r="F187" s="39"/>
      <c r="G187" s="66"/>
      <c r="H187" s="66"/>
      <c r="I187" s="66">
        <f>(4*I144+4*M140)*E147</f>
        <v>7172</v>
      </c>
      <c r="J187" s="39" t="s">
        <v>8</v>
      </c>
      <c r="K187" s="62"/>
      <c r="L187" s="64"/>
      <c r="M187" s="5"/>
      <c r="N187" s="5"/>
      <c r="O187" s="5"/>
      <c r="P187" s="5"/>
      <c r="Q187" s="5"/>
      <c r="R187" s="5"/>
      <c r="S187" s="5"/>
      <c r="T187" s="5"/>
      <c r="U187" s="5"/>
      <c r="V187" s="35" t="s">
        <v>66</v>
      </c>
      <c r="W187" s="9" t="str">
        <f>E148</f>
        <v>AJO 26 - 006</v>
      </c>
      <c r="X187" s="9" t="str">
        <f>D151&amp;"-"&amp;E151</f>
        <v>1-A2-W4</v>
      </c>
      <c r="Y187" s="9" t="str">
        <f t="shared" si="15"/>
        <v>JF002</v>
      </c>
      <c r="Z187" s="9">
        <f t="shared" si="15"/>
        <v>0</v>
      </c>
      <c r="AA187" s="9">
        <f t="shared" si="15"/>
        <v>0</v>
      </c>
      <c r="AB187" s="9">
        <f t="shared" si="15"/>
        <v>0</v>
      </c>
      <c r="AC187" s="9">
        <f t="shared" si="15"/>
        <v>7172</v>
      </c>
      <c r="AD187" s="9" t="str">
        <f t="shared" si="15"/>
        <v>mm</v>
      </c>
      <c r="AE187" s="9">
        <f t="shared" si="16"/>
        <v>0</v>
      </c>
      <c r="AF187" s="9" t="str">
        <f>E141</f>
        <v>O-25035</v>
      </c>
      <c r="AG187" s="9" t="str">
        <f>E142</f>
        <v>Jad Abi Rizk</v>
      </c>
      <c r="AH187" s="9" t="str">
        <f t="shared" si="17"/>
        <v>TECHNAL FXI</v>
      </c>
      <c r="AI187" s="9" t="str">
        <f>E146</f>
        <v>32 mm</v>
      </c>
      <c r="AJ187" s="9">
        <f>E150</f>
        <v>1</v>
      </c>
      <c r="AK187" s="9">
        <f>E149</f>
        <v>0</v>
      </c>
      <c r="AL187" s="9" t="s">
        <v>57</v>
      </c>
    </row>
    <row r="188" spans="1:38" s="44" customFormat="1" ht="15.6" customHeight="1" x14ac:dyDescent="0.2">
      <c r="A188" s="51">
        <v>12</v>
      </c>
      <c r="B188" s="61"/>
      <c r="C188" s="47" t="str">
        <f>E144</f>
        <v>TECHNAL FXI</v>
      </c>
      <c r="D188" s="48"/>
      <c r="E188" s="39" t="s">
        <v>77</v>
      </c>
      <c r="F188" s="39"/>
      <c r="G188" s="66"/>
      <c r="H188" s="66"/>
      <c r="I188" s="66">
        <f>(2*I144+2*M140)*E147</f>
        <v>3586</v>
      </c>
      <c r="J188" s="39" t="s">
        <v>8</v>
      </c>
      <c r="K188" s="62"/>
      <c r="L188" s="64"/>
      <c r="M188" s="37"/>
      <c r="N188" s="37"/>
      <c r="O188" s="5"/>
      <c r="P188" s="5"/>
      <c r="Q188" s="5"/>
      <c r="R188" s="5"/>
      <c r="S188" s="5"/>
      <c r="T188" s="5"/>
      <c r="U188" s="5"/>
      <c r="V188" s="35" t="s">
        <v>66</v>
      </c>
      <c r="W188" s="9" t="str">
        <f>E148</f>
        <v>AJO 26 - 006</v>
      </c>
      <c r="X188" s="9" t="str">
        <f>D151&amp;"-"&amp;E151</f>
        <v>1-A2-W4</v>
      </c>
      <c r="Y188" s="9" t="str">
        <f t="shared" si="15"/>
        <v>JF005</v>
      </c>
      <c r="Z188" s="9">
        <f t="shared" si="15"/>
        <v>0</v>
      </c>
      <c r="AA188" s="9">
        <f t="shared" si="15"/>
        <v>0</v>
      </c>
      <c r="AB188" s="9">
        <f t="shared" si="15"/>
        <v>0</v>
      </c>
      <c r="AC188" s="9">
        <f t="shared" si="15"/>
        <v>3586</v>
      </c>
      <c r="AD188" s="9" t="str">
        <f t="shared" si="15"/>
        <v>mm</v>
      </c>
      <c r="AE188" s="9">
        <f t="shared" si="16"/>
        <v>0</v>
      </c>
      <c r="AF188" s="9" t="str">
        <f>E141</f>
        <v>O-25035</v>
      </c>
      <c r="AG188" s="9" t="str">
        <f>E142</f>
        <v>Jad Abi Rizk</v>
      </c>
      <c r="AH188" s="9" t="str">
        <f t="shared" si="17"/>
        <v>TECHNAL FXI</v>
      </c>
      <c r="AI188" s="9" t="str">
        <f>E146</f>
        <v>32 mm</v>
      </c>
      <c r="AJ188" s="9">
        <f>E150</f>
        <v>1</v>
      </c>
      <c r="AK188" s="9">
        <f>E149</f>
        <v>0</v>
      </c>
      <c r="AL188" s="9" t="s">
        <v>57</v>
      </c>
    </row>
    <row r="189" spans="1:38" s="44" customFormat="1" ht="15.6" customHeight="1" x14ac:dyDescent="0.2">
      <c r="A189" s="51">
        <v>13</v>
      </c>
      <c r="B189" s="61"/>
      <c r="C189" s="47" t="str">
        <f>E144</f>
        <v>TECHNAL FXI</v>
      </c>
      <c r="D189" s="48"/>
      <c r="E189" s="39">
        <v>1472</v>
      </c>
      <c r="F189" s="39"/>
      <c r="G189" s="66"/>
      <c r="H189" s="66"/>
      <c r="I189" s="66">
        <f>2*E147</f>
        <v>2</v>
      </c>
      <c r="J189" s="39" t="s">
        <v>65</v>
      </c>
      <c r="K189" s="62"/>
      <c r="L189" s="64"/>
      <c r="M189" s="37"/>
      <c r="N189" s="37"/>
      <c r="O189" s="5"/>
      <c r="P189" s="5"/>
      <c r="Q189" s="5"/>
      <c r="R189" s="5"/>
      <c r="S189" s="5"/>
      <c r="T189" s="5"/>
      <c r="U189" s="5"/>
      <c r="V189" s="35" t="s">
        <v>66</v>
      </c>
      <c r="W189" s="9" t="str">
        <f>E148</f>
        <v>AJO 26 - 006</v>
      </c>
      <c r="X189" s="9" t="str">
        <f>D151&amp;"-"&amp;E151</f>
        <v>1-A2-W4</v>
      </c>
      <c r="Y189" s="9">
        <f t="shared" si="15"/>
        <v>1472</v>
      </c>
      <c r="Z189" s="9">
        <f t="shared" si="15"/>
        <v>0</v>
      </c>
      <c r="AA189" s="9">
        <f t="shared" si="15"/>
        <v>0</v>
      </c>
      <c r="AB189" s="9">
        <f t="shared" si="15"/>
        <v>0</v>
      </c>
      <c r="AC189" s="9">
        <f t="shared" si="15"/>
        <v>2</v>
      </c>
      <c r="AD189" s="9" t="str">
        <f t="shared" si="15"/>
        <v>pcs</v>
      </c>
      <c r="AE189" s="9">
        <f t="shared" si="16"/>
        <v>0</v>
      </c>
      <c r="AF189" s="9" t="str">
        <f>E141</f>
        <v>O-25035</v>
      </c>
      <c r="AG189" s="9" t="str">
        <f>E142</f>
        <v>Jad Abi Rizk</v>
      </c>
      <c r="AH189" s="9" t="str">
        <f t="shared" si="17"/>
        <v>TECHNAL FXI</v>
      </c>
      <c r="AI189" s="9" t="str">
        <f>E146</f>
        <v>32 mm</v>
      </c>
      <c r="AJ189" s="9">
        <f>E150</f>
        <v>1</v>
      </c>
      <c r="AK189" s="9">
        <f>E149</f>
        <v>0</v>
      </c>
      <c r="AL189" s="9" t="s">
        <v>57</v>
      </c>
    </row>
    <row r="190" spans="1:38" s="44" customFormat="1" ht="15.6" customHeight="1" x14ac:dyDescent="0.2">
      <c r="A190" s="51">
        <v>14</v>
      </c>
      <c r="B190" s="61"/>
      <c r="C190" s="65" t="s">
        <v>78</v>
      </c>
      <c r="D190" s="48"/>
      <c r="E190" s="39" t="s">
        <v>79</v>
      </c>
      <c r="F190" s="39"/>
      <c r="G190" s="66"/>
      <c r="H190" s="66"/>
      <c r="I190" s="66">
        <f>IF(M190=1,1*E147,0*E147)</f>
        <v>0</v>
      </c>
      <c r="J190" s="39" t="s">
        <v>65</v>
      </c>
      <c r="K190" s="62"/>
      <c r="L190" s="64"/>
      <c r="M190" s="5"/>
      <c r="N190" s="5" t="s">
        <v>80</v>
      </c>
      <c r="O190" s="5"/>
      <c r="P190" s="5"/>
      <c r="Q190" s="5"/>
      <c r="R190" s="5"/>
      <c r="S190" s="5"/>
      <c r="T190" s="5"/>
      <c r="U190" s="5"/>
      <c r="V190" s="35" t="s">
        <v>66</v>
      </c>
      <c r="W190" s="9" t="str">
        <f>E148</f>
        <v>AJO 26 - 006</v>
      </c>
      <c r="X190" s="9" t="str">
        <f>D151&amp;"-"&amp;E151</f>
        <v>1-A2-W4</v>
      </c>
      <c r="Y190" s="9" t="str">
        <f t="shared" si="15"/>
        <v>KF045</v>
      </c>
      <c r="Z190" s="9">
        <f t="shared" si="15"/>
        <v>0</v>
      </c>
      <c r="AA190" s="9">
        <f t="shared" si="15"/>
        <v>0</v>
      </c>
      <c r="AB190" s="9">
        <f t="shared" si="15"/>
        <v>0</v>
      </c>
      <c r="AC190" s="9">
        <f t="shared" si="15"/>
        <v>0</v>
      </c>
      <c r="AD190" s="9" t="str">
        <f t="shared" si="15"/>
        <v>pcs</v>
      </c>
      <c r="AE190" s="9">
        <f t="shared" si="16"/>
        <v>0</v>
      </c>
      <c r="AF190" s="9" t="str">
        <f>E141</f>
        <v>O-25035</v>
      </c>
      <c r="AG190" s="9" t="str">
        <f>E142</f>
        <v>Jad Abi Rizk</v>
      </c>
      <c r="AH190" s="9" t="str">
        <f t="shared" si="17"/>
        <v>Compas Securite</v>
      </c>
      <c r="AI190" s="9" t="str">
        <f>E146</f>
        <v>32 mm</v>
      </c>
      <c r="AJ190" s="9">
        <f>E150</f>
        <v>1</v>
      </c>
      <c r="AK190" s="9">
        <f>E149</f>
        <v>0</v>
      </c>
      <c r="AL190" s="9" t="s">
        <v>57</v>
      </c>
    </row>
    <row r="191" spans="1:38" s="44" customFormat="1" ht="15.6" customHeight="1" x14ac:dyDescent="0.2">
      <c r="A191" s="51">
        <v>15</v>
      </c>
      <c r="B191" s="61"/>
      <c r="C191" s="47" t="str">
        <f>E144</f>
        <v>TECHNAL FXI</v>
      </c>
      <c r="D191" s="48"/>
      <c r="E191" s="39">
        <v>1112</v>
      </c>
      <c r="F191" s="39"/>
      <c r="G191" s="66"/>
      <c r="H191" s="66"/>
      <c r="I191" s="66">
        <f>IF(M191=1,0,(I158*G158+I159*G159+I160*G160+I161*G161)/1000*3)</f>
        <v>8.109</v>
      </c>
      <c r="J191" s="39" t="s">
        <v>65</v>
      </c>
      <c r="K191" s="62"/>
      <c r="L191" s="64"/>
      <c r="M191" s="67">
        <v>0</v>
      </c>
      <c r="N191" s="68" t="s">
        <v>81</v>
      </c>
      <c r="O191" s="5"/>
      <c r="P191" s="5"/>
      <c r="Q191" s="5"/>
      <c r="R191" s="5"/>
      <c r="S191" s="5"/>
      <c r="T191" s="5"/>
      <c r="U191" s="5"/>
      <c r="V191" s="35" t="s">
        <v>66</v>
      </c>
      <c r="W191" s="9" t="str">
        <f>E148</f>
        <v>AJO 26 - 006</v>
      </c>
      <c r="X191" s="9" t="str">
        <f>D151&amp;"-"&amp;E151</f>
        <v>1-A2-W4</v>
      </c>
      <c r="Y191" s="9">
        <f t="shared" si="15"/>
        <v>1112</v>
      </c>
      <c r="Z191" s="9">
        <f t="shared" si="15"/>
        <v>0</v>
      </c>
      <c r="AA191" s="9">
        <f t="shared" si="15"/>
        <v>0</v>
      </c>
      <c r="AB191" s="9">
        <f t="shared" si="15"/>
        <v>0</v>
      </c>
      <c r="AC191" s="9">
        <f t="shared" si="15"/>
        <v>8.109</v>
      </c>
      <c r="AD191" s="9" t="str">
        <f t="shared" si="15"/>
        <v>pcs</v>
      </c>
      <c r="AE191" s="9">
        <f t="shared" si="16"/>
        <v>0</v>
      </c>
      <c r="AF191" s="9" t="str">
        <f>E141</f>
        <v>O-25035</v>
      </c>
      <c r="AG191" s="9" t="str">
        <f>E142</f>
        <v>Jad Abi Rizk</v>
      </c>
      <c r="AH191" s="9" t="str">
        <f t="shared" si="17"/>
        <v>TECHNAL FXI</v>
      </c>
      <c r="AI191" s="9" t="str">
        <f>E146</f>
        <v>32 mm</v>
      </c>
      <c r="AJ191" s="9">
        <f>E150</f>
        <v>1</v>
      </c>
      <c r="AK191" s="9">
        <f>E149</f>
        <v>0</v>
      </c>
      <c r="AL191" s="9" t="s">
        <v>57</v>
      </c>
    </row>
    <row r="192" spans="1:38" s="44" customFormat="1" ht="15.6" customHeight="1" x14ac:dyDescent="0.2">
      <c r="A192" s="51">
        <v>16</v>
      </c>
      <c r="B192" s="61"/>
      <c r="C192" s="47" t="str">
        <f>E144</f>
        <v>TECHNAL FXI</v>
      </c>
      <c r="D192" s="48"/>
      <c r="E192" s="39">
        <v>2649</v>
      </c>
      <c r="F192" s="39"/>
      <c r="G192" s="66"/>
      <c r="H192" s="66"/>
      <c r="I192" s="66">
        <f>IF(M162=0,(I162*G162+I163*G163)/1000*5,0)</f>
        <v>0</v>
      </c>
      <c r="J192" s="39" t="s">
        <v>65</v>
      </c>
      <c r="K192" s="69"/>
      <c r="L192" s="70"/>
      <c r="M192" s="37"/>
      <c r="N192" s="37"/>
      <c r="O192" s="5"/>
      <c r="P192" s="5"/>
      <c r="Q192" s="5"/>
      <c r="R192" s="5"/>
      <c r="S192" s="5"/>
      <c r="T192" s="5"/>
      <c r="U192" s="5"/>
      <c r="V192" s="35" t="s">
        <v>66</v>
      </c>
      <c r="W192" s="9" t="str">
        <f>E148</f>
        <v>AJO 26 - 006</v>
      </c>
      <c r="X192" s="9" t="str">
        <f>D151&amp;"-"&amp;E151</f>
        <v>1-A2-W4</v>
      </c>
      <c r="Y192" s="9">
        <f t="shared" si="15"/>
        <v>2649</v>
      </c>
      <c r="Z192" s="9">
        <f t="shared" si="15"/>
        <v>0</v>
      </c>
      <c r="AA192" s="9">
        <f t="shared" si="15"/>
        <v>0</v>
      </c>
      <c r="AB192" s="9">
        <f t="shared" si="15"/>
        <v>0</v>
      </c>
      <c r="AC192" s="9">
        <f t="shared" si="15"/>
        <v>0</v>
      </c>
      <c r="AD192" s="9" t="str">
        <f t="shared" si="15"/>
        <v>pcs</v>
      </c>
      <c r="AE192" s="9">
        <f t="shared" si="16"/>
        <v>0</v>
      </c>
      <c r="AF192" s="9" t="str">
        <f>E141</f>
        <v>O-25035</v>
      </c>
      <c r="AG192" s="9" t="str">
        <f>E142</f>
        <v>Jad Abi Rizk</v>
      </c>
      <c r="AH192" s="9" t="str">
        <f t="shared" si="17"/>
        <v>TECHNAL FXI</v>
      </c>
      <c r="AI192" s="9" t="str">
        <f>E146</f>
        <v>32 mm</v>
      </c>
      <c r="AJ192" s="9">
        <f>E150</f>
        <v>1</v>
      </c>
      <c r="AK192" s="9">
        <f>E149</f>
        <v>0</v>
      </c>
      <c r="AL192" s="9" t="s">
        <v>57</v>
      </c>
    </row>
    <row r="193" spans="1:38" s="44" customFormat="1" ht="15.6" customHeight="1" x14ac:dyDescent="0.2">
      <c r="A193" s="51">
        <v>17</v>
      </c>
      <c r="B193" s="61"/>
      <c r="C193" s="47" t="str">
        <f>E144</f>
        <v>TECHNAL FXI</v>
      </c>
      <c r="D193" s="48"/>
      <c r="E193" s="39" t="s">
        <v>82</v>
      </c>
      <c r="F193" s="39"/>
      <c r="G193" s="39"/>
      <c r="H193" s="51"/>
      <c r="I193" s="39">
        <f>4*E147</f>
        <v>4</v>
      </c>
      <c r="J193" s="39" t="s">
        <v>65</v>
      </c>
      <c r="K193" s="69"/>
      <c r="L193" s="70"/>
      <c r="M193" s="37"/>
      <c r="N193" s="37"/>
      <c r="O193" s="5"/>
      <c r="P193" s="5"/>
      <c r="Q193" s="5"/>
      <c r="R193" s="5"/>
      <c r="S193" s="5"/>
      <c r="T193" s="5"/>
      <c r="U193" s="5"/>
      <c r="V193" s="35" t="s">
        <v>66</v>
      </c>
      <c r="W193" s="35" t="str">
        <f>E148</f>
        <v>AJO 26 - 006</v>
      </c>
      <c r="X193" s="9" t="str">
        <f>D151&amp;"-"&amp;E151</f>
        <v>1-A2-W4</v>
      </c>
      <c r="Y193" s="35" t="str">
        <f t="shared" si="15"/>
        <v>EE012</v>
      </c>
      <c r="Z193" s="35">
        <f t="shared" si="15"/>
        <v>0</v>
      </c>
      <c r="AA193" s="35">
        <f t="shared" si="15"/>
        <v>0</v>
      </c>
      <c r="AB193" s="35">
        <f t="shared" si="15"/>
        <v>0</v>
      </c>
      <c r="AC193" s="9">
        <f t="shared" si="15"/>
        <v>4</v>
      </c>
      <c r="AD193" s="35" t="str">
        <f t="shared" si="15"/>
        <v>pcs</v>
      </c>
      <c r="AE193" s="35">
        <f t="shared" si="16"/>
        <v>0</v>
      </c>
      <c r="AF193" s="35" t="str">
        <f>E141</f>
        <v>O-25035</v>
      </c>
      <c r="AG193" s="35" t="str">
        <f>E142</f>
        <v>Jad Abi Rizk</v>
      </c>
      <c r="AH193" s="35" t="str">
        <f t="shared" si="17"/>
        <v>TECHNAL FXI</v>
      </c>
      <c r="AI193" s="35" t="str">
        <f>E146</f>
        <v>32 mm</v>
      </c>
      <c r="AJ193" s="35">
        <f>E150</f>
        <v>1</v>
      </c>
      <c r="AK193" s="35">
        <f>E149</f>
        <v>0</v>
      </c>
      <c r="AL193" s="9" t="s">
        <v>57</v>
      </c>
    </row>
    <row r="194" spans="1:38" s="44" customFormat="1" ht="15.6" hidden="1" customHeight="1" x14ac:dyDescent="0.2">
      <c r="A194" s="5"/>
      <c r="B194" s="71"/>
      <c r="C194" s="5"/>
      <c r="D194" s="55"/>
      <c r="E194" s="10"/>
      <c r="F194" s="10"/>
      <c r="G194" s="10"/>
      <c r="H194" s="10"/>
      <c r="I194" s="5"/>
      <c r="J194" s="5"/>
      <c r="K194" s="55"/>
      <c r="L194" s="55"/>
      <c r="M194" s="5"/>
      <c r="N194" s="5"/>
      <c r="O194" s="5"/>
      <c r="P194" s="5"/>
      <c r="Q194" s="5"/>
      <c r="R194" s="5"/>
      <c r="S194" s="5"/>
      <c r="T194" s="5"/>
      <c r="U194" s="5"/>
      <c r="V194" s="35" t="s">
        <v>66</v>
      </c>
      <c r="W194" s="9" t="str">
        <f>E148</f>
        <v>AJO 26 - 006</v>
      </c>
      <c r="X194" s="9" t="str">
        <f>D151&amp;"-"&amp;E151</f>
        <v>1-A2-W4</v>
      </c>
      <c r="Y194" s="9">
        <f t="shared" si="15"/>
        <v>0</v>
      </c>
      <c r="Z194" s="9">
        <f t="shared" si="15"/>
        <v>0</v>
      </c>
      <c r="AA194" s="9">
        <f t="shared" si="15"/>
        <v>0</v>
      </c>
      <c r="AB194" s="9">
        <f t="shared" si="15"/>
        <v>0</v>
      </c>
      <c r="AC194" s="9">
        <f t="shared" si="15"/>
        <v>0</v>
      </c>
      <c r="AD194" s="9">
        <f t="shared" si="15"/>
        <v>0</v>
      </c>
      <c r="AE194" s="9">
        <f t="shared" si="16"/>
        <v>0</v>
      </c>
      <c r="AF194" s="9" t="str">
        <f>E141</f>
        <v>O-25035</v>
      </c>
      <c r="AG194" s="9" t="str">
        <f>E142</f>
        <v>Jad Abi Rizk</v>
      </c>
      <c r="AH194" s="9">
        <f t="shared" si="17"/>
        <v>0</v>
      </c>
      <c r="AI194" s="9" t="str">
        <f>E146</f>
        <v>32 mm</v>
      </c>
      <c r="AJ194" s="9">
        <f>E150</f>
        <v>1</v>
      </c>
      <c r="AK194" s="9">
        <f>E149</f>
        <v>0</v>
      </c>
      <c r="AL194" s="9" t="s">
        <v>57</v>
      </c>
    </row>
    <row r="195" spans="1:38" s="44" customFormat="1" ht="15.6" hidden="1" customHeight="1" x14ac:dyDescent="0.2">
      <c r="A195" s="5"/>
      <c r="B195" s="71"/>
      <c r="C195" s="5"/>
      <c r="D195" s="55"/>
      <c r="E195" s="10"/>
      <c r="F195" s="10"/>
      <c r="G195" s="10"/>
      <c r="H195" s="10"/>
      <c r="I195" s="5"/>
      <c r="J195" s="5"/>
      <c r="K195" s="55"/>
      <c r="L195" s="55"/>
      <c r="M195" s="5"/>
      <c r="N195" s="5"/>
      <c r="O195" s="5"/>
      <c r="P195" s="5"/>
      <c r="Q195" s="5"/>
      <c r="R195" s="5"/>
      <c r="S195" s="5"/>
      <c r="T195" s="5"/>
      <c r="U195" s="5"/>
      <c r="V195" s="35" t="s">
        <v>66</v>
      </c>
      <c r="W195" s="35" t="str">
        <f>E148</f>
        <v>AJO 26 - 006</v>
      </c>
      <c r="X195" s="9" t="str">
        <f>D151&amp;"-"&amp;E151</f>
        <v>1-A2-W4</v>
      </c>
      <c r="Y195" s="35">
        <f t="shared" si="15"/>
        <v>0</v>
      </c>
      <c r="Z195" s="35">
        <f t="shared" si="15"/>
        <v>0</v>
      </c>
      <c r="AA195" s="35">
        <f t="shared" si="15"/>
        <v>0</v>
      </c>
      <c r="AB195" s="35">
        <f t="shared" si="15"/>
        <v>0</v>
      </c>
      <c r="AC195" s="9">
        <f t="shared" si="15"/>
        <v>0</v>
      </c>
      <c r="AD195" s="35">
        <f t="shared" si="15"/>
        <v>0</v>
      </c>
      <c r="AE195" s="35">
        <f t="shared" si="16"/>
        <v>0</v>
      </c>
      <c r="AF195" s="35" t="str">
        <f>E141</f>
        <v>O-25035</v>
      </c>
      <c r="AG195" s="35" t="str">
        <f>E142</f>
        <v>Jad Abi Rizk</v>
      </c>
      <c r="AH195" s="35">
        <f t="shared" si="17"/>
        <v>0</v>
      </c>
      <c r="AI195" s="35" t="str">
        <f>E146</f>
        <v>32 mm</v>
      </c>
      <c r="AJ195" s="35">
        <f>E150</f>
        <v>1</v>
      </c>
      <c r="AK195" s="35">
        <f>E149</f>
        <v>0</v>
      </c>
      <c r="AL195" s="9" t="s">
        <v>57</v>
      </c>
    </row>
    <row r="196" spans="1:38" s="44" customFormat="1" ht="15.6" hidden="1" customHeight="1" x14ac:dyDescent="0.2">
      <c r="A196" s="5"/>
      <c r="B196" s="71"/>
      <c r="C196" s="5"/>
      <c r="D196" s="55"/>
      <c r="E196" s="10"/>
      <c r="F196" s="10"/>
      <c r="G196" s="10"/>
      <c r="H196" s="10"/>
      <c r="I196" s="5"/>
      <c r="J196" s="5"/>
      <c r="K196" s="55"/>
      <c r="L196" s="55"/>
      <c r="M196" s="5"/>
      <c r="N196" s="5"/>
      <c r="O196" s="5"/>
      <c r="P196" s="5"/>
      <c r="Q196" s="5"/>
      <c r="R196" s="5"/>
      <c r="S196" s="5"/>
      <c r="T196" s="5"/>
      <c r="U196" s="5"/>
      <c r="V196" s="35" t="s">
        <v>66</v>
      </c>
      <c r="W196" s="35" t="str">
        <f>E148</f>
        <v>AJO 26 - 006</v>
      </c>
      <c r="X196" s="9" t="str">
        <f>D151&amp;"-"&amp;E151</f>
        <v>1-A2-W4</v>
      </c>
      <c r="Y196" s="35">
        <f t="shared" si="15"/>
        <v>0</v>
      </c>
      <c r="Z196" s="35">
        <f t="shared" si="15"/>
        <v>0</v>
      </c>
      <c r="AA196" s="35">
        <f t="shared" si="15"/>
        <v>0</v>
      </c>
      <c r="AB196" s="35">
        <f t="shared" si="15"/>
        <v>0</v>
      </c>
      <c r="AC196" s="9">
        <f t="shared" si="15"/>
        <v>0</v>
      </c>
      <c r="AD196" s="35">
        <f t="shared" si="15"/>
        <v>0</v>
      </c>
      <c r="AE196" s="35">
        <f t="shared" si="16"/>
        <v>0</v>
      </c>
      <c r="AF196" s="35" t="str">
        <f>E141</f>
        <v>O-25035</v>
      </c>
      <c r="AG196" s="35" t="str">
        <f>E142</f>
        <v>Jad Abi Rizk</v>
      </c>
      <c r="AH196" s="35">
        <f t="shared" si="17"/>
        <v>0</v>
      </c>
      <c r="AI196" s="35" t="str">
        <f>E146</f>
        <v>32 mm</v>
      </c>
      <c r="AJ196" s="35">
        <f>E150</f>
        <v>1</v>
      </c>
      <c r="AK196" s="35">
        <f>E149</f>
        <v>0</v>
      </c>
      <c r="AL196" s="9" t="s">
        <v>57</v>
      </c>
    </row>
    <row r="197" spans="1:38" s="44" customFormat="1" ht="15.6" hidden="1" customHeight="1" x14ac:dyDescent="0.2">
      <c r="A197" s="5"/>
      <c r="B197" s="71"/>
      <c r="C197" s="5"/>
      <c r="D197" s="55"/>
      <c r="E197" s="10"/>
      <c r="F197" s="10"/>
      <c r="G197" s="10"/>
      <c r="H197" s="10"/>
      <c r="I197" s="5"/>
      <c r="J197" s="5"/>
      <c r="K197" s="55"/>
      <c r="L197" s="55"/>
      <c r="M197" s="5"/>
      <c r="N197" s="5"/>
      <c r="O197" s="5"/>
      <c r="P197" s="5"/>
      <c r="Q197" s="5"/>
      <c r="R197" s="5"/>
      <c r="S197" s="5"/>
      <c r="T197" s="5"/>
      <c r="U197" s="5"/>
      <c r="V197" s="35" t="s">
        <v>66</v>
      </c>
      <c r="W197" s="35" t="str">
        <f>E148</f>
        <v>AJO 26 - 006</v>
      </c>
      <c r="X197" s="9" t="str">
        <f>D151&amp;"-"&amp;E151</f>
        <v>1-A2-W4</v>
      </c>
      <c r="Y197" s="35">
        <f t="shared" si="15"/>
        <v>0</v>
      </c>
      <c r="Z197" s="35">
        <f t="shared" si="15"/>
        <v>0</v>
      </c>
      <c r="AA197" s="35">
        <f t="shared" si="15"/>
        <v>0</v>
      </c>
      <c r="AB197" s="35">
        <f t="shared" si="15"/>
        <v>0</v>
      </c>
      <c r="AC197" s="9">
        <f t="shared" si="15"/>
        <v>0</v>
      </c>
      <c r="AD197" s="35">
        <f t="shared" si="15"/>
        <v>0</v>
      </c>
      <c r="AE197" s="35">
        <f t="shared" si="16"/>
        <v>0</v>
      </c>
      <c r="AF197" s="35" t="str">
        <f>E141</f>
        <v>O-25035</v>
      </c>
      <c r="AG197" s="35" t="str">
        <f>E142</f>
        <v>Jad Abi Rizk</v>
      </c>
      <c r="AH197" s="35">
        <f t="shared" si="17"/>
        <v>0</v>
      </c>
      <c r="AI197" s="35" t="str">
        <f>E146</f>
        <v>32 mm</v>
      </c>
      <c r="AJ197" s="35">
        <f>E150</f>
        <v>1</v>
      </c>
      <c r="AK197" s="35">
        <f>E149</f>
        <v>0</v>
      </c>
      <c r="AL197" s="9" t="s">
        <v>57</v>
      </c>
    </row>
    <row r="198" spans="1:38" s="44" customFormat="1" ht="15.6" hidden="1" customHeight="1" x14ac:dyDescent="0.2">
      <c r="A198" s="5"/>
      <c r="B198" s="71"/>
      <c r="C198" s="5"/>
      <c r="D198" s="55"/>
      <c r="E198" s="10"/>
      <c r="F198" s="10"/>
      <c r="G198" s="10"/>
      <c r="H198" s="10"/>
      <c r="I198" s="5"/>
      <c r="J198" s="5"/>
      <c r="K198" s="55"/>
      <c r="L198" s="55"/>
      <c r="M198" s="5"/>
      <c r="N198" s="5"/>
      <c r="O198" s="5"/>
      <c r="P198" s="5"/>
      <c r="Q198" s="5"/>
      <c r="R198" s="5"/>
      <c r="S198" s="5"/>
      <c r="T198" s="5"/>
      <c r="U198" s="5"/>
      <c r="V198" s="35" t="s">
        <v>66</v>
      </c>
      <c r="W198" s="35" t="str">
        <f>E148</f>
        <v>AJO 26 - 006</v>
      </c>
      <c r="X198" s="9" t="str">
        <f>D151&amp;"-"&amp;E151</f>
        <v>1-A2-W4</v>
      </c>
      <c r="Y198" s="35">
        <f t="shared" si="15"/>
        <v>0</v>
      </c>
      <c r="Z198" s="35">
        <f t="shared" si="15"/>
        <v>0</v>
      </c>
      <c r="AA198" s="35">
        <f t="shared" si="15"/>
        <v>0</v>
      </c>
      <c r="AB198" s="35">
        <f t="shared" si="15"/>
        <v>0</v>
      </c>
      <c r="AC198" s="9">
        <f t="shared" si="15"/>
        <v>0</v>
      </c>
      <c r="AD198" s="35">
        <f t="shared" si="15"/>
        <v>0</v>
      </c>
      <c r="AE198" s="35">
        <f t="shared" si="16"/>
        <v>0</v>
      </c>
      <c r="AF198" s="35" t="str">
        <f>E141</f>
        <v>O-25035</v>
      </c>
      <c r="AG198" s="35" t="str">
        <f>E142</f>
        <v>Jad Abi Rizk</v>
      </c>
      <c r="AH198" s="35">
        <f t="shared" si="17"/>
        <v>0</v>
      </c>
      <c r="AI198" s="35" t="str">
        <f>E146</f>
        <v>32 mm</v>
      </c>
      <c r="AJ198" s="35">
        <f>E150</f>
        <v>1</v>
      </c>
      <c r="AK198" s="35">
        <f>E149</f>
        <v>0</v>
      </c>
      <c r="AL198" s="35" t="s">
        <v>57</v>
      </c>
    </row>
    <row r="199" spans="1:38" s="44" customFormat="1" ht="15.6" hidden="1" customHeight="1" x14ac:dyDescent="0.2">
      <c r="A199" s="5"/>
      <c r="B199" s="71"/>
      <c r="C199" s="5"/>
      <c r="D199" s="55"/>
      <c r="E199" s="10"/>
      <c r="F199" s="10"/>
      <c r="G199" s="10"/>
      <c r="H199" s="10"/>
      <c r="I199" s="5"/>
      <c r="J199" s="5"/>
      <c r="K199" s="55"/>
      <c r="L199" s="55"/>
      <c r="M199" s="5"/>
      <c r="N199" s="5"/>
      <c r="O199" s="5"/>
      <c r="P199" s="5"/>
      <c r="Q199" s="5"/>
      <c r="R199" s="5"/>
      <c r="S199" s="5"/>
      <c r="T199" s="5"/>
      <c r="U199" s="5"/>
      <c r="V199" s="35" t="s">
        <v>66</v>
      </c>
      <c r="W199" s="35" t="str">
        <f>E148</f>
        <v>AJO 26 - 006</v>
      </c>
      <c r="X199" s="9" t="str">
        <f>D151&amp;"-"&amp;E151</f>
        <v>1-A2-W4</v>
      </c>
      <c r="Y199" s="35">
        <f t="shared" si="15"/>
        <v>0</v>
      </c>
      <c r="Z199" s="35">
        <f t="shared" si="15"/>
        <v>0</v>
      </c>
      <c r="AA199" s="35">
        <f t="shared" si="15"/>
        <v>0</v>
      </c>
      <c r="AB199" s="35">
        <f t="shared" si="15"/>
        <v>0</v>
      </c>
      <c r="AC199" s="9">
        <f t="shared" si="15"/>
        <v>0</v>
      </c>
      <c r="AD199" s="35">
        <f t="shared" si="15"/>
        <v>0</v>
      </c>
      <c r="AE199" s="35">
        <f t="shared" si="16"/>
        <v>0</v>
      </c>
      <c r="AF199" s="35" t="str">
        <f>E141</f>
        <v>O-25035</v>
      </c>
      <c r="AG199" s="35" t="str">
        <f>E142</f>
        <v>Jad Abi Rizk</v>
      </c>
      <c r="AH199" s="35">
        <f t="shared" si="17"/>
        <v>0</v>
      </c>
      <c r="AI199" s="35" t="str">
        <f>E146</f>
        <v>32 mm</v>
      </c>
      <c r="AJ199" s="35">
        <f>E150</f>
        <v>1</v>
      </c>
      <c r="AK199" s="35">
        <f>E149</f>
        <v>0</v>
      </c>
      <c r="AL199" s="35" t="s">
        <v>57</v>
      </c>
    </row>
    <row r="200" spans="1:38" s="44" customFormat="1" ht="15.6" hidden="1" customHeight="1" x14ac:dyDescent="0.2">
      <c r="A200" s="5"/>
      <c r="B200" s="71"/>
      <c r="C200" s="5"/>
      <c r="D200" s="55"/>
      <c r="E200" s="10"/>
      <c r="F200" s="10"/>
      <c r="G200" s="10"/>
      <c r="H200" s="10"/>
      <c r="I200" s="5"/>
      <c r="J200" s="5"/>
      <c r="K200" s="55"/>
      <c r="L200" s="55"/>
      <c r="M200" s="5"/>
      <c r="N200" s="5"/>
      <c r="O200" s="5"/>
      <c r="P200" s="5"/>
      <c r="Q200" s="5"/>
      <c r="R200" s="5"/>
      <c r="S200" s="5"/>
      <c r="T200" s="5"/>
      <c r="U200" s="5"/>
      <c r="V200" s="35" t="s">
        <v>66</v>
      </c>
      <c r="W200" s="35" t="str">
        <f>E148</f>
        <v>AJO 26 - 006</v>
      </c>
      <c r="X200" s="9" t="str">
        <f>D151&amp;"-"&amp;E151</f>
        <v>1-A2-W4</v>
      </c>
      <c r="Y200" s="35">
        <f t="shared" si="15"/>
        <v>0</v>
      </c>
      <c r="Z200" s="35">
        <f t="shared" si="15"/>
        <v>0</v>
      </c>
      <c r="AA200" s="35">
        <f t="shared" si="15"/>
        <v>0</v>
      </c>
      <c r="AB200" s="35">
        <f t="shared" si="15"/>
        <v>0</v>
      </c>
      <c r="AC200" s="9">
        <f t="shared" si="15"/>
        <v>0</v>
      </c>
      <c r="AD200" s="35">
        <f t="shared" si="15"/>
        <v>0</v>
      </c>
      <c r="AE200" s="35">
        <f t="shared" si="16"/>
        <v>0</v>
      </c>
      <c r="AF200" s="35" t="str">
        <f>E141</f>
        <v>O-25035</v>
      </c>
      <c r="AG200" s="35" t="str">
        <f>E142</f>
        <v>Jad Abi Rizk</v>
      </c>
      <c r="AH200" s="35">
        <f t="shared" si="17"/>
        <v>0</v>
      </c>
      <c r="AI200" s="35" t="str">
        <f>E146</f>
        <v>32 mm</v>
      </c>
      <c r="AJ200" s="35">
        <f>E150</f>
        <v>1</v>
      </c>
      <c r="AK200" s="35">
        <f>E149</f>
        <v>0</v>
      </c>
      <c r="AL200" s="9" t="s">
        <v>57</v>
      </c>
    </row>
    <row r="201" spans="1:38" s="44" customFormat="1" ht="15.6" hidden="1" customHeight="1" x14ac:dyDescent="0.25">
      <c r="A201" s="5"/>
      <c r="B201" s="71"/>
      <c r="C201" s="5"/>
      <c r="D201" s="55"/>
      <c r="E201" s="10"/>
      <c r="F201" s="10"/>
      <c r="G201" s="10"/>
      <c r="H201" s="10"/>
      <c r="I201" s="5"/>
      <c r="J201" s="5"/>
      <c r="K201" s="55"/>
      <c r="L201" s="55"/>
      <c r="M201" s="5"/>
      <c r="N201" s="5"/>
      <c r="O201" s="5"/>
      <c r="P201" s="5"/>
      <c r="Q201" s="5"/>
      <c r="R201" s="5"/>
      <c r="S201" s="5"/>
      <c r="T201" s="5"/>
      <c r="U201" s="5"/>
      <c r="V201" s="55"/>
      <c r="W201" s="55"/>
      <c r="X201" s="55"/>
      <c r="Y201" s="55"/>
      <c r="Z201" s="55"/>
      <c r="AA201" s="55"/>
      <c r="AB201" s="55"/>
      <c r="AC201" s="55"/>
      <c r="AD201" s="55"/>
      <c r="AE201" s="56"/>
      <c r="AF201" s="56"/>
      <c r="AG201" s="56"/>
      <c r="AH201" s="56"/>
      <c r="AI201" s="56"/>
      <c r="AJ201" s="56"/>
      <c r="AK201" s="56"/>
      <c r="AL201" s="56"/>
    </row>
    <row r="202" spans="1:38" s="44" customFormat="1" ht="15.6" hidden="1" customHeight="1" x14ac:dyDescent="0.25">
      <c r="A202" s="5"/>
      <c r="B202" s="71"/>
      <c r="C202" s="5"/>
      <c r="D202" s="55"/>
      <c r="E202" s="10"/>
      <c r="F202" s="10"/>
      <c r="G202" s="10"/>
      <c r="H202" s="10"/>
      <c r="I202" s="5"/>
      <c r="J202" s="5"/>
      <c r="K202" s="55"/>
      <c r="L202" s="55"/>
      <c r="M202" s="5"/>
      <c r="N202" s="5"/>
      <c r="O202" s="5"/>
      <c r="P202" s="5"/>
      <c r="Q202" s="5"/>
      <c r="R202" s="5"/>
      <c r="S202" s="5"/>
      <c r="T202" s="5"/>
      <c r="U202" s="5"/>
      <c r="V202" s="55"/>
      <c r="W202" s="55"/>
      <c r="X202" s="55"/>
      <c r="Y202" s="55"/>
      <c r="Z202" s="55"/>
      <c r="AA202" s="55"/>
      <c r="AB202" s="55"/>
      <c r="AC202" s="9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spans="1:38" s="59" customFormat="1" ht="29.25" customHeight="1" x14ac:dyDescent="0.25">
      <c r="A203" s="9"/>
      <c r="B203" s="2"/>
      <c r="C203" s="2" t="s">
        <v>83</v>
      </c>
      <c r="D203" s="2"/>
      <c r="E203" s="2" t="str">
        <f>F146</f>
        <v>G1a</v>
      </c>
      <c r="F203" s="2" t="s">
        <v>57</v>
      </c>
      <c r="G203" s="2">
        <f>I144-162</f>
        <v>584</v>
      </c>
      <c r="H203" s="2">
        <f>M140-162</f>
        <v>885</v>
      </c>
      <c r="I203" s="2">
        <f>1*E147</f>
        <v>1</v>
      </c>
      <c r="J203" s="2" t="s">
        <v>8</v>
      </c>
      <c r="K203" s="2"/>
      <c r="L203" s="10"/>
      <c r="M203" s="10"/>
      <c r="N203" s="10"/>
      <c r="O203" s="5"/>
      <c r="P203" s="9"/>
      <c r="Q203" s="9"/>
      <c r="R203" s="9"/>
      <c r="S203" s="9"/>
      <c r="T203" s="9"/>
      <c r="U203" s="9"/>
      <c r="V203" s="9" t="s">
        <v>19</v>
      </c>
      <c r="W203" s="9" t="str">
        <f>E148</f>
        <v>AJO 26 - 006</v>
      </c>
      <c r="X203" s="9" t="str">
        <f>D151&amp;"-"&amp;E151</f>
        <v>1-A2-W4</v>
      </c>
      <c r="Y203" s="9"/>
      <c r="Z203" s="9" t="str">
        <f>E203</f>
        <v>G1a</v>
      </c>
      <c r="AA203" s="9">
        <f>G203</f>
        <v>584</v>
      </c>
      <c r="AB203" s="9">
        <f>H203</f>
        <v>885</v>
      </c>
      <c r="AC203" s="9">
        <f>I203</f>
        <v>1</v>
      </c>
      <c r="AD203" s="9" t="str">
        <f>J203</f>
        <v>mm</v>
      </c>
      <c r="AE203" s="9">
        <f>L203</f>
        <v>0</v>
      </c>
      <c r="AF203" s="9" t="str">
        <f>E141</f>
        <v>O-25035</v>
      </c>
      <c r="AG203" s="9" t="str">
        <f>E142</f>
        <v>Jad Abi Rizk</v>
      </c>
      <c r="AH203" s="9" t="str">
        <f>C203</f>
        <v>Double Glazing</v>
      </c>
      <c r="AI203" s="9" t="str">
        <f>E146</f>
        <v>32 mm</v>
      </c>
      <c r="AJ203" s="9">
        <f>E150</f>
        <v>1</v>
      </c>
      <c r="AK203" s="9">
        <f>E149</f>
        <v>0</v>
      </c>
      <c r="AL203" s="9" t="s">
        <v>57</v>
      </c>
    </row>
    <row r="205" spans="1:38" s="7" customFormat="1" ht="15.75" x14ac:dyDescent="0.25">
      <c r="A205" s="1" t="s">
        <v>0</v>
      </c>
      <c r="B205" s="1"/>
      <c r="C205" s="2"/>
      <c r="D205" s="3"/>
      <c r="E205" s="3"/>
      <c r="F205" s="3"/>
      <c r="G205" s="4"/>
      <c r="H205" s="4"/>
      <c r="I205" s="4"/>
      <c r="J205" s="4"/>
      <c r="K205" s="4"/>
      <c r="L205" s="4"/>
      <c r="M205" s="5"/>
      <c r="N205" s="5"/>
      <c r="O205" s="5"/>
      <c r="P205" s="5"/>
      <c r="Q205" s="3" t="s">
        <v>1</v>
      </c>
      <c r="R205" s="1" t="s">
        <v>2</v>
      </c>
      <c r="S205" s="3"/>
      <c r="T205" s="4"/>
      <c r="U205" s="4"/>
      <c r="V205" s="4"/>
      <c r="W205" s="4"/>
      <c r="X205" s="4"/>
      <c r="Y205" s="4"/>
      <c r="Z205" s="6"/>
      <c r="AA205" s="6"/>
      <c r="AB205" s="6"/>
      <c r="AC205" s="6"/>
      <c r="AD205" s="6"/>
      <c r="AE205" s="6"/>
      <c r="AF205" s="6"/>
      <c r="AG205" s="6"/>
    </row>
    <row r="206" spans="1:38" s="7" customFormat="1" ht="15.75" x14ac:dyDescent="0.25">
      <c r="A206" s="1"/>
      <c r="B206" s="1"/>
      <c r="C206" s="2"/>
      <c r="D206" s="3"/>
      <c r="E206" s="3"/>
      <c r="F206" s="3"/>
      <c r="G206" s="4"/>
      <c r="H206" s="4"/>
      <c r="I206" s="4"/>
      <c r="J206" s="4"/>
      <c r="K206" s="4"/>
      <c r="L206" s="4"/>
      <c r="M206" s="5"/>
      <c r="N206" s="5"/>
      <c r="O206" s="5"/>
      <c r="P206" s="5"/>
      <c r="Q206" s="8" t="s">
        <v>3</v>
      </c>
      <c r="R206" s="1"/>
      <c r="S206" s="3"/>
      <c r="T206" s="4"/>
      <c r="U206" s="4"/>
      <c r="V206" s="4"/>
      <c r="W206" s="4"/>
      <c r="X206" s="4"/>
      <c r="Y206" s="4"/>
      <c r="Z206" s="6"/>
      <c r="AA206" s="6"/>
      <c r="AB206" s="6"/>
      <c r="AC206" s="6"/>
      <c r="AD206" s="6"/>
      <c r="AE206" s="6"/>
      <c r="AF206" s="6"/>
      <c r="AG206" s="6"/>
    </row>
    <row r="207" spans="1:38" s="7" customFormat="1" ht="15.75" x14ac:dyDescent="0.25">
      <c r="A207" s="3"/>
      <c r="B207" s="3"/>
      <c r="C207" s="9"/>
      <c r="D207" s="3"/>
      <c r="E207" s="3"/>
      <c r="F207" s="3"/>
      <c r="G207" s="4"/>
      <c r="H207" s="4"/>
      <c r="I207" s="4"/>
      <c r="J207" s="3"/>
      <c r="K207" s="3"/>
      <c r="L207" s="8"/>
      <c r="M207" s="5"/>
      <c r="N207" s="5"/>
      <c r="O207" s="10"/>
      <c r="P207" s="10"/>
      <c r="Q207" s="3" t="s">
        <v>4</v>
      </c>
      <c r="R207" s="3">
        <v>1</v>
      </c>
      <c r="S207" s="3"/>
      <c r="T207" s="4"/>
      <c r="U207" s="4"/>
      <c r="V207" s="4"/>
      <c r="W207" s="4"/>
      <c r="X207" s="4"/>
      <c r="Y207" s="4"/>
      <c r="Z207" s="6"/>
      <c r="AA207" s="6"/>
      <c r="AB207" s="6"/>
      <c r="AC207" s="6"/>
      <c r="AD207" s="6"/>
      <c r="AE207" s="6"/>
      <c r="AF207" s="6"/>
      <c r="AG207" s="6"/>
    </row>
    <row r="208" spans="1:38" s="7" customFormat="1" ht="15.75" x14ac:dyDescent="0.25">
      <c r="A208" s="1" t="s">
        <v>5</v>
      </c>
      <c r="B208" s="3"/>
      <c r="C208" s="2" t="s">
        <v>6</v>
      </c>
      <c r="D208" s="11"/>
      <c r="E208" s="1" t="str">
        <f>R205</f>
        <v>Marina Living Larnaca</v>
      </c>
      <c r="F208" s="1"/>
      <c r="H208" s="4"/>
      <c r="I208" s="4"/>
      <c r="J208" s="4"/>
      <c r="K208" s="4"/>
      <c r="L208" s="12" t="s">
        <v>7</v>
      </c>
      <c r="M208" s="5">
        <f>R210</f>
        <v>1030</v>
      </c>
      <c r="N208" s="13" t="s">
        <v>8</v>
      </c>
      <c r="O208" s="10"/>
      <c r="P208" s="10"/>
      <c r="Q208" s="3" t="s">
        <v>9</v>
      </c>
      <c r="R208" s="14" t="s">
        <v>90</v>
      </c>
      <c r="S208" s="14"/>
      <c r="T208" s="4"/>
      <c r="U208" s="4"/>
      <c r="V208" s="4"/>
      <c r="W208" s="4"/>
      <c r="X208" s="4"/>
      <c r="Y208" s="4"/>
      <c r="Z208" s="6"/>
      <c r="AA208" s="6"/>
      <c r="AB208" s="6"/>
      <c r="AC208" s="6"/>
      <c r="AD208" s="6"/>
      <c r="AE208" s="6"/>
      <c r="AF208" s="6"/>
      <c r="AG208" s="6"/>
    </row>
    <row r="209" spans="1:38" s="7" customFormat="1" ht="15.75" x14ac:dyDescent="0.25">
      <c r="A209" s="1" t="s">
        <v>11</v>
      </c>
      <c r="B209" s="3"/>
      <c r="C209" s="2" t="s">
        <v>6</v>
      </c>
      <c r="D209" s="11"/>
      <c r="E209" s="15" t="s">
        <v>12</v>
      </c>
      <c r="F209" s="15"/>
      <c r="H209" s="4"/>
      <c r="I209" s="8"/>
      <c r="J209" s="4"/>
      <c r="K209" s="4"/>
      <c r="L209" s="4"/>
      <c r="M209" s="5"/>
      <c r="N209" s="5"/>
      <c r="O209" s="5"/>
      <c r="P209" s="5"/>
      <c r="Q209" s="3" t="s">
        <v>13</v>
      </c>
      <c r="R209" s="3">
        <v>707</v>
      </c>
      <c r="S209" s="3"/>
      <c r="T209" s="4"/>
      <c r="U209" s="4"/>
      <c r="V209" s="4"/>
      <c r="W209" s="4"/>
      <c r="X209" s="4"/>
      <c r="Y209" s="4"/>
      <c r="Z209" s="6"/>
      <c r="AA209" s="6"/>
      <c r="AB209" s="6"/>
      <c r="AC209" s="6"/>
      <c r="AD209" s="6"/>
      <c r="AE209" s="6"/>
      <c r="AF209" s="6"/>
      <c r="AG209" s="6"/>
    </row>
    <row r="210" spans="1:38" s="7" customFormat="1" ht="15.75" x14ac:dyDescent="0.25">
      <c r="A210" s="15" t="s">
        <v>14</v>
      </c>
      <c r="B210" s="11"/>
      <c r="C210" s="2" t="s">
        <v>6</v>
      </c>
      <c r="D210" s="11"/>
      <c r="E210" s="1" t="s">
        <v>15</v>
      </c>
      <c r="F210" s="1"/>
      <c r="H210" s="4"/>
      <c r="I210" s="4"/>
      <c r="J210" s="4"/>
      <c r="K210" s="4"/>
      <c r="L210" s="16"/>
      <c r="M210" s="9"/>
      <c r="N210" s="9"/>
      <c r="O210" s="9"/>
      <c r="P210" s="9"/>
      <c r="Q210" s="3" t="s">
        <v>7</v>
      </c>
      <c r="R210" s="3">
        <v>1030</v>
      </c>
      <c r="S210" s="3">
        <v>1200</v>
      </c>
      <c r="T210" s="17" t="s">
        <v>16</v>
      </c>
      <c r="U210" s="4"/>
      <c r="V210" s="4"/>
      <c r="W210" s="4"/>
      <c r="X210" s="4"/>
      <c r="Y210" s="4"/>
      <c r="Z210" s="6"/>
      <c r="AA210" s="6"/>
      <c r="AB210" s="6"/>
      <c r="AC210" s="6"/>
      <c r="AD210" s="6"/>
      <c r="AE210" s="6"/>
      <c r="AF210" s="6"/>
      <c r="AG210" s="6"/>
    </row>
    <row r="211" spans="1:38" s="7" customFormat="1" ht="15.75" x14ac:dyDescent="0.25">
      <c r="A211" s="1" t="s">
        <v>17</v>
      </c>
      <c r="B211" s="3"/>
      <c r="C211" s="2" t="s">
        <v>6</v>
      </c>
      <c r="D211" s="11"/>
      <c r="E211" s="1" t="s">
        <v>18</v>
      </c>
      <c r="F211" s="1"/>
      <c r="I211" s="4"/>
      <c r="J211" s="4"/>
      <c r="K211" s="4"/>
      <c r="L211" s="16"/>
      <c r="M211" s="9"/>
      <c r="N211" s="9"/>
      <c r="O211" s="9"/>
      <c r="P211" s="5"/>
      <c r="Q211" s="3" t="s">
        <v>19</v>
      </c>
      <c r="R211" s="3" t="s">
        <v>20</v>
      </c>
      <c r="S211" s="3" t="s">
        <v>88</v>
      </c>
      <c r="T211" s="4"/>
      <c r="U211" s="4"/>
      <c r="V211" s="4"/>
      <c r="W211" s="4"/>
      <c r="X211" s="4"/>
      <c r="Y211" s="4"/>
      <c r="Z211" s="6"/>
      <c r="AA211" s="6"/>
      <c r="AB211" s="6"/>
      <c r="AC211" s="6"/>
      <c r="AD211" s="6"/>
      <c r="AE211" s="6"/>
      <c r="AF211" s="6"/>
      <c r="AG211" s="6"/>
    </row>
    <row r="212" spans="1:38" s="7" customFormat="1" ht="15.75" x14ac:dyDescent="0.25">
      <c r="A212" s="1" t="s">
        <v>22</v>
      </c>
      <c r="B212" s="3"/>
      <c r="C212" s="2" t="s">
        <v>6</v>
      </c>
      <c r="D212" s="11"/>
      <c r="E212" s="1" t="s">
        <v>23</v>
      </c>
      <c r="F212" s="1"/>
      <c r="G212" s="4"/>
      <c r="H212" s="4" t="s">
        <v>13</v>
      </c>
      <c r="I212" s="5">
        <f>R209</f>
        <v>707</v>
      </c>
      <c r="J212" s="8" t="s">
        <v>8</v>
      </c>
      <c r="K212" s="4"/>
      <c r="L212" s="4"/>
      <c r="M212" s="5"/>
      <c r="N212" s="5"/>
      <c r="O212" s="5"/>
      <c r="P212" s="5"/>
      <c r="Q212" s="3" t="s">
        <v>24</v>
      </c>
      <c r="R212" s="3">
        <v>1</v>
      </c>
      <c r="S212" s="3"/>
      <c r="T212" s="4"/>
      <c r="U212" s="4"/>
      <c r="V212" s="4"/>
      <c r="W212" s="4"/>
      <c r="X212" s="4"/>
      <c r="Y212" s="4"/>
      <c r="Z212" s="6"/>
      <c r="AA212" s="6"/>
      <c r="AB212" s="6"/>
      <c r="AC212" s="6"/>
      <c r="AD212" s="6"/>
      <c r="AE212" s="6"/>
      <c r="AF212" s="6"/>
      <c r="AG212" s="6"/>
    </row>
    <row r="213" spans="1:38" s="7" customFormat="1" ht="15.75" x14ac:dyDescent="0.25">
      <c r="A213" s="1" t="s">
        <v>25</v>
      </c>
      <c r="B213" s="3"/>
      <c r="C213" s="2" t="s">
        <v>6</v>
      </c>
      <c r="D213" s="3"/>
      <c r="E213" s="18">
        <f ca="1">TODAY()</f>
        <v>46220</v>
      </c>
      <c r="F213" s="18"/>
      <c r="G213" s="4"/>
      <c r="H213" s="4"/>
      <c r="I213" s="3"/>
      <c r="J213" s="3"/>
      <c r="K213" s="3"/>
      <c r="L213" s="16" t="s">
        <v>26</v>
      </c>
      <c r="M213" s="9">
        <f>S210</f>
        <v>1200</v>
      </c>
      <c r="N213" s="19" t="s">
        <v>8</v>
      </c>
      <c r="O213" s="9"/>
      <c r="P213" s="5"/>
      <c r="Q213" s="3" t="s">
        <v>27</v>
      </c>
      <c r="R213" s="3">
        <v>1</v>
      </c>
      <c r="S213" s="3"/>
      <c r="T213" s="4"/>
      <c r="U213" s="4"/>
      <c r="V213" s="4"/>
      <c r="W213" s="4"/>
      <c r="X213" s="4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8" s="7" customFormat="1" ht="15.75" x14ac:dyDescent="0.25">
      <c r="A214" s="1" t="s">
        <v>19</v>
      </c>
      <c r="B214" s="3"/>
      <c r="C214" s="2" t="s">
        <v>6</v>
      </c>
      <c r="D214" s="11"/>
      <c r="E214" s="15" t="str">
        <f>R211</f>
        <v>32 mm</v>
      </c>
      <c r="F214" s="15" t="str">
        <f>S211</f>
        <v>G1a</v>
      </c>
      <c r="G214" s="4"/>
      <c r="H214" s="4"/>
      <c r="I214" s="4"/>
      <c r="J214" s="20"/>
      <c r="K214" s="21"/>
      <c r="L214" s="16" t="s">
        <v>28</v>
      </c>
      <c r="M214" s="9">
        <f>IF(1500-M213&lt;300,300,1500-M213)</f>
        <v>300</v>
      </c>
      <c r="N214" s="19" t="s">
        <v>8</v>
      </c>
      <c r="O214" s="22"/>
      <c r="P214" s="5"/>
      <c r="Q214" s="3"/>
      <c r="R214" s="3"/>
      <c r="S214" s="3"/>
      <c r="T214" s="4"/>
      <c r="U214" s="4"/>
      <c r="V214" s="4"/>
      <c r="W214" s="4"/>
      <c r="X214" s="4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8" s="7" customFormat="1" ht="15.75" x14ac:dyDescent="0.25">
      <c r="A215" s="1" t="s">
        <v>27</v>
      </c>
      <c r="B215" s="3"/>
      <c r="C215" s="2" t="s">
        <v>6</v>
      </c>
      <c r="D215" s="11"/>
      <c r="E215" s="15">
        <f>R213</f>
        <v>1</v>
      </c>
      <c r="F215" s="15"/>
      <c r="G215" s="4"/>
      <c r="H215" s="4"/>
      <c r="I215" s="3"/>
      <c r="J215" s="3"/>
      <c r="K215" s="3"/>
      <c r="L215" s="3"/>
      <c r="M215" s="5"/>
      <c r="N215" s="5"/>
      <c r="O215" s="5"/>
      <c r="P215" s="5"/>
      <c r="Q215" s="4"/>
      <c r="R215" s="4"/>
      <c r="S215" s="4"/>
      <c r="T215" s="4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8" s="7" customFormat="1" ht="15.75" x14ac:dyDescent="0.25">
      <c r="A216" s="1" t="s">
        <v>29</v>
      </c>
      <c r="B216" s="3"/>
      <c r="C216" s="2" t="s">
        <v>6</v>
      </c>
      <c r="D216" s="3"/>
      <c r="E216" s="1" t="s">
        <v>30</v>
      </c>
      <c r="F216" s="23"/>
      <c r="G216" s="4"/>
      <c r="H216" s="4"/>
      <c r="I216" s="3"/>
      <c r="J216" s="3"/>
      <c r="K216" s="3"/>
      <c r="L216" s="3"/>
      <c r="M216" s="5"/>
      <c r="N216" s="5"/>
      <c r="O216" s="5"/>
      <c r="P216" s="5"/>
      <c r="Q216" s="4"/>
      <c r="R216" s="4"/>
      <c r="S216" s="4"/>
      <c r="T216" s="4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8" s="7" customFormat="1" ht="15.75" x14ac:dyDescent="0.25">
      <c r="A217" s="1" t="s">
        <v>3</v>
      </c>
      <c r="B217" s="3"/>
      <c r="C217" s="2" t="s">
        <v>6</v>
      </c>
      <c r="D217" s="3"/>
      <c r="E217" s="1">
        <f>R206</f>
        <v>0</v>
      </c>
      <c r="F217" s="23"/>
      <c r="G217" s="24"/>
      <c r="H217" s="4"/>
      <c r="I217" s="4"/>
      <c r="J217" s="4"/>
      <c r="K217" s="4"/>
      <c r="L217" s="4"/>
      <c r="M217" s="5"/>
      <c r="N217" s="5"/>
      <c r="O217" s="5"/>
      <c r="P217" s="5"/>
      <c r="Q217" s="4"/>
      <c r="R217" s="4"/>
      <c r="S217" s="4"/>
      <c r="T217" s="4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8" s="7" customFormat="1" ht="15.75" x14ac:dyDescent="0.25">
      <c r="A218" s="25" t="s">
        <v>31</v>
      </c>
      <c r="B218" s="3"/>
      <c r="C218" s="2" t="s">
        <v>6</v>
      </c>
      <c r="D218" s="3"/>
      <c r="E218" s="15">
        <f>R207</f>
        <v>1</v>
      </c>
      <c r="F218" s="15"/>
      <c r="G218" s="4"/>
      <c r="H218" s="4"/>
      <c r="I218" s="4"/>
      <c r="J218" s="4"/>
      <c r="K218" s="4"/>
      <c r="L218" s="4"/>
      <c r="M218" s="5"/>
      <c r="N218" s="5"/>
      <c r="O218" s="5"/>
      <c r="P218" s="5"/>
      <c r="Q218" s="4"/>
      <c r="R218" s="4"/>
      <c r="S218" s="4"/>
      <c r="T218" s="4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8" s="7" customFormat="1" ht="15.75" x14ac:dyDescent="0.25">
      <c r="A219" s="25" t="s">
        <v>32</v>
      </c>
      <c r="B219" s="26"/>
      <c r="C219" s="2" t="s">
        <v>6</v>
      </c>
      <c r="D219" s="1">
        <f>R207</f>
        <v>1</v>
      </c>
      <c r="E219" s="15" t="str">
        <f>R208</f>
        <v>A3-W3</v>
      </c>
      <c r="F219" s="15"/>
      <c r="G219" s="4"/>
      <c r="H219" s="4"/>
      <c r="I219" s="4"/>
      <c r="J219" s="4"/>
      <c r="K219" s="4"/>
      <c r="L219" s="4"/>
      <c r="M219" s="5"/>
      <c r="N219" s="5"/>
      <c r="O219" s="5"/>
      <c r="P219" s="5"/>
      <c r="Q219" s="4"/>
      <c r="R219" s="4"/>
      <c r="S219" s="4"/>
      <c r="T219" s="4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8" s="7" customFormat="1" ht="16.5" thickBot="1" x14ac:dyDescent="0.3">
      <c r="A220" s="27"/>
      <c r="B220" s="28"/>
      <c r="C220" s="10"/>
      <c r="D220" s="4"/>
      <c r="E220" s="24"/>
      <c r="F220" s="4"/>
      <c r="G220" s="4"/>
      <c r="H220" s="4"/>
      <c r="I220" s="4"/>
      <c r="J220" s="4"/>
      <c r="K220" s="4"/>
      <c r="L220" s="4"/>
      <c r="M220" s="5"/>
      <c r="N220" s="5"/>
      <c r="O220" s="5"/>
      <c r="P220" s="5"/>
      <c r="Q220" s="4"/>
      <c r="R220" s="4"/>
      <c r="S220" s="4"/>
      <c r="T220" s="4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8" s="7" customFormat="1" ht="29.1" customHeight="1" thickBot="1" x14ac:dyDescent="0.25">
      <c r="A221" s="29" t="s">
        <v>33</v>
      </c>
      <c r="B221" s="30"/>
      <c r="C221" s="31" t="s">
        <v>34</v>
      </c>
      <c r="D221" s="32"/>
      <c r="E221" s="29" t="s">
        <v>35</v>
      </c>
      <c r="F221" s="29" t="s">
        <v>36</v>
      </c>
      <c r="G221" s="29" t="s">
        <v>37</v>
      </c>
      <c r="H221" s="29" t="s">
        <v>38</v>
      </c>
      <c r="I221" s="29" t="s">
        <v>27</v>
      </c>
      <c r="J221" s="29" t="s">
        <v>39</v>
      </c>
      <c r="K221" s="33" t="s">
        <v>40</v>
      </c>
      <c r="L221" s="33"/>
      <c r="M221" s="31" t="s">
        <v>41</v>
      </c>
      <c r="N221" s="34"/>
      <c r="O221" s="5"/>
      <c r="P221" s="5"/>
      <c r="Q221" s="5"/>
      <c r="R221" s="5"/>
      <c r="S221" s="5"/>
      <c r="T221" s="5"/>
      <c r="U221" s="5"/>
      <c r="V221" s="3"/>
      <c r="W221" s="3"/>
      <c r="X221" s="3"/>
      <c r="Y221" s="3"/>
      <c r="Z221" s="3"/>
      <c r="AA221" s="3"/>
      <c r="AB221" s="3"/>
      <c r="AC221" s="35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s="44" customFormat="1" ht="29.25" customHeight="1" x14ac:dyDescent="0.25">
      <c r="A222" s="36">
        <v>1</v>
      </c>
      <c r="B222" s="37"/>
      <c r="C222" s="37" t="str">
        <f>E212</f>
        <v>TECHNAL FXI</v>
      </c>
      <c r="D222" s="38"/>
      <c r="E222" s="36" t="s">
        <v>52</v>
      </c>
      <c r="F222" s="39" t="str">
        <f>E211</f>
        <v>E5 Clair</v>
      </c>
      <c r="G222" s="40">
        <f>I212</f>
        <v>707</v>
      </c>
      <c r="H222" s="36"/>
      <c r="I222" s="36">
        <f>2*E215</f>
        <v>2</v>
      </c>
      <c r="J222" s="41" t="s">
        <v>8</v>
      </c>
      <c r="K222" s="42"/>
      <c r="L222" s="43" t="s">
        <v>53</v>
      </c>
      <c r="M222" s="41"/>
      <c r="N222" s="37"/>
      <c r="O222" s="5"/>
      <c r="P222" s="5"/>
      <c r="Q222" s="5"/>
      <c r="R222" s="5"/>
      <c r="S222" s="5"/>
      <c r="T222" s="5"/>
      <c r="U222" s="5"/>
      <c r="V222" s="9" t="s">
        <v>54</v>
      </c>
      <c r="W222" s="9" t="str">
        <f>E216</f>
        <v>AJO 26 - 006</v>
      </c>
      <c r="X222" s="9" t="str">
        <f>D219&amp;"-"&amp;E219</f>
        <v>1-A3-W3</v>
      </c>
      <c r="Y222" s="9" t="str">
        <f t="shared" ref="Y222:AD239" si="18">E222</f>
        <v>HF008</v>
      </c>
      <c r="Z222" s="9" t="str">
        <f t="shared" si="18"/>
        <v>E5 Clair</v>
      </c>
      <c r="AA222" s="9">
        <f t="shared" si="18"/>
        <v>707</v>
      </c>
      <c r="AB222" s="9">
        <f t="shared" si="18"/>
        <v>0</v>
      </c>
      <c r="AC222" s="9">
        <f t="shared" si="18"/>
        <v>2</v>
      </c>
      <c r="AD222" s="9" t="str">
        <f t="shared" si="18"/>
        <v>mm</v>
      </c>
      <c r="AE222" s="9" t="str">
        <f t="shared" ref="AE222:AE239" si="19">L222</f>
        <v>-45.0/ 45.0</v>
      </c>
      <c r="AF222" s="9" t="str">
        <f>E209</f>
        <v>O-25035</v>
      </c>
      <c r="AG222" s="9" t="str">
        <f>E210</f>
        <v>Jad Abi Rizk</v>
      </c>
      <c r="AH222" s="9" t="str">
        <f t="shared" ref="AH222:AH239" si="20">C222</f>
        <v>TECHNAL FXI</v>
      </c>
      <c r="AI222" s="9" t="str">
        <f>E214</f>
        <v>32 mm</v>
      </c>
      <c r="AJ222" s="9">
        <f>E218</f>
        <v>1</v>
      </c>
      <c r="AK222" s="9">
        <f>E217</f>
        <v>0</v>
      </c>
      <c r="AL222" s="9">
        <f>M214</f>
        <v>300</v>
      </c>
    </row>
    <row r="223" spans="1:38" s="44" customFormat="1" ht="29.25" customHeight="1" x14ac:dyDescent="0.25">
      <c r="A223" s="36">
        <v>2</v>
      </c>
      <c r="B223" s="37"/>
      <c r="C223" s="37" t="str">
        <f>E212</f>
        <v>TECHNAL FXI</v>
      </c>
      <c r="D223" s="38"/>
      <c r="E223" s="36" t="s">
        <v>52</v>
      </c>
      <c r="F223" s="39" t="str">
        <f>E211</f>
        <v>E5 Clair</v>
      </c>
      <c r="G223" s="40">
        <f>M208</f>
        <v>1030</v>
      </c>
      <c r="H223" s="36"/>
      <c r="I223" s="36">
        <f>2*E215</f>
        <v>2</v>
      </c>
      <c r="J223" s="41" t="s">
        <v>8</v>
      </c>
      <c r="K223" s="42"/>
      <c r="L223" s="43" t="s">
        <v>53</v>
      </c>
      <c r="M223" s="41"/>
      <c r="N223" s="37"/>
      <c r="O223" s="5"/>
      <c r="P223" s="5"/>
      <c r="Q223" s="5"/>
      <c r="R223" s="5"/>
      <c r="S223" s="5"/>
      <c r="T223" s="5"/>
      <c r="U223" s="5"/>
      <c r="V223" s="9" t="s">
        <v>54</v>
      </c>
      <c r="W223" s="9" t="str">
        <f>E216</f>
        <v>AJO 26 - 006</v>
      </c>
      <c r="X223" s="9" t="str">
        <f>D219&amp;"-"&amp;E219</f>
        <v>1-A3-W3</v>
      </c>
      <c r="Y223" s="9" t="str">
        <f t="shared" si="18"/>
        <v>HF008</v>
      </c>
      <c r="Z223" s="9" t="str">
        <f t="shared" si="18"/>
        <v>E5 Clair</v>
      </c>
      <c r="AA223" s="9">
        <f t="shared" si="18"/>
        <v>1030</v>
      </c>
      <c r="AB223" s="9">
        <f t="shared" si="18"/>
        <v>0</v>
      </c>
      <c r="AC223" s="9">
        <f t="shared" si="18"/>
        <v>2</v>
      </c>
      <c r="AD223" s="9" t="str">
        <f t="shared" si="18"/>
        <v>mm</v>
      </c>
      <c r="AE223" s="9" t="str">
        <f t="shared" si="19"/>
        <v>-45.0/ 45.0</v>
      </c>
      <c r="AF223" s="9" t="str">
        <f>E209</f>
        <v>O-25035</v>
      </c>
      <c r="AG223" s="9" t="str">
        <f>E210</f>
        <v>Jad Abi Rizk</v>
      </c>
      <c r="AH223" s="9" t="str">
        <f t="shared" si="20"/>
        <v>TECHNAL FXI</v>
      </c>
      <c r="AI223" s="9" t="str">
        <f>E214</f>
        <v>32 mm</v>
      </c>
      <c r="AJ223" s="9">
        <f>E218</f>
        <v>1</v>
      </c>
      <c r="AK223" s="9">
        <f>E217</f>
        <v>0</v>
      </c>
      <c r="AL223" s="9">
        <f>M214</f>
        <v>300</v>
      </c>
    </row>
    <row r="224" spans="1:38" s="44" customFormat="1" ht="29.25" customHeight="1" x14ac:dyDescent="0.25">
      <c r="A224" s="36">
        <v>3</v>
      </c>
      <c r="B224" s="37"/>
      <c r="C224" s="37" t="str">
        <f>E212</f>
        <v>TECHNAL FXI</v>
      </c>
      <c r="D224" s="38"/>
      <c r="E224" s="36" t="s">
        <v>55</v>
      </c>
      <c r="F224" s="39" t="str">
        <f>E211</f>
        <v>E5 Clair</v>
      </c>
      <c r="G224" s="40">
        <f>I212-54</f>
        <v>653</v>
      </c>
      <c r="H224" s="36"/>
      <c r="I224" s="36">
        <f>2*E215</f>
        <v>2</v>
      </c>
      <c r="J224" s="41" t="s">
        <v>8</v>
      </c>
      <c r="K224" s="42"/>
      <c r="L224" s="43" t="s">
        <v>53</v>
      </c>
      <c r="M224" s="41"/>
      <c r="N224" s="37"/>
      <c r="O224" s="5"/>
      <c r="P224" s="5"/>
      <c r="Q224" s="5"/>
      <c r="R224" s="5"/>
      <c r="S224" s="5"/>
      <c r="T224" s="5"/>
      <c r="U224" s="5"/>
      <c r="V224" s="9" t="s">
        <v>54</v>
      </c>
      <c r="W224" s="9" t="str">
        <f>E216</f>
        <v>AJO 26 - 006</v>
      </c>
      <c r="X224" s="9" t="str">
        <f>D219&amp;"-"&amp;E219</f>
        <v>1-A3-W3</v>
      </c>
      <c r="Y224" s="9" t="str">
        <f t="shared" si="18"/>
        <v>HF001</v>
      </c>
      <c r="Z224" s="9" t="str">
        <f t="shared" si="18"/>
        <v>E5 Clair</v>
      </c>
      <c r="AA224" s="9">
        <f t="shared" si="18"/>
        <v>653</v>
      </c>
      <c r="AB224" s="9">
        <f t="shared" si="18"/>
        <v>0</v>
      </c>
      <c r="AC224" s="9">
        <f t="shared" si="18"/>
        <v>2</v>
      </c>
      <c r="AD224" s="9" t="str">
        <f t="shared" si="18"/>
        <v>mm</v>
      </c>
      <c r="AE224" s="9" t="str">
        <f t="shared" si="19"/>
        <v>-45.0/ 45.0</v>
      </c>
      <c r="AF224" s="9" t="str">
        <f>E209</f>
        <v>O-25035</v>
      </c>
      <c r="AG224" s="9" t="str">
        <f>E210</f>
        <v>Jad Abi Rizk</v>
      </c>
      <c r="AH224" s="9" t="str">
        <f t="shared" si="20"/>
        <v>TECHNAL FXI</v>
      </c>
      <c r="AI224" s="9" t="str">
        <f>E214</f>
        <v>32 mm</v>
      </c>
      <c r="AJ224" s="9">
        <f>E218</f>
        <v>1</v>
      </c>
      <c r="AK224" s="9">
        <f>E217</f>
        <v>0</v>
      </c>
      <c r="AL224" s="9">
        <f>M214</f>
        <v>300</v>
      </c>
    </row>
    <row r="225" spans="1:38" s="44" customFormat="1" ht="29.25" customHeight="1" x14ac:dyDescent="0.25">
      <c r="A225" s="36">
        <v>4</v>
      </c>
      <c r="B225" s="37"/>
      <c r="C225" s="37" t="str">
        <f>E212</f>
        <v>TECHNAL FXI</v>
      </c>
      <c r="D225" s="38"/>
      <c r="E225" s="36" t="s">
        <v>55</v>
      </c>
      <c r="F225" s="39" t="str">
        <f>E211</f>
        <v>E5 Clair</v>
      </c>
      <c r="G225" s="40">
        <f>M208-54</f>
        <v>976</v>
      </c>
      <c r="H225" s="36"/>
      <c r="I225" s="36">
        <f>2*E215</f>
        <v>2</v>
      </c>
      <c r="J225" s="41" t="s">
        <v>8</v>
      </c>
      <c r="K225" s="42"/>
      <c r="L225" s="43" t="s">
        <v>53</v>
      </c>
      <c r="M225" s="41"/>
      <c r="N225" s="37"/>
      <c r="O225" s="5"/>
      <c r="P225" s="5"/>
      <c r="Q225" s="5"/>
      <c r="R225" s="5"/>
      <c r="S225" s="5"/>
      <c r="T225" s="5"/>
      <c r="U225" s="5"/>
      <c r="V225" s="9" t="s">
        <v>54</v>
      </c>
      <c r="W225" s="9" t="str">
        <f>E216</f>
        <v>AJO 26 - 006</v>
      </c>
      <c r="X225" s="9" t="str">
        <f>D219&amp;"-"&amp;E219</f>
        <v>1-A3-W3</v>
      </c>
      <c r="Y225" s="9" t="str">
        <f t="shared" si="18"/>
        <v>HF001</v>
      </c>
      <c r="Z225" s="9" t="str">
        <f t="shared" si="18"/>
        <v>E5 Clair</v>
      </c>
      <c r="AA225" s="9">
        <f t="shared" si="18"/>
        <v>976</v>
      </c>
      <c r="AB225" s="9">
        <f t="shared" si="18"/>
        <v>0</v>
      </c>
      <c r="AC225" s="9">
        <f t="shared" si="18"/>
        <v>2</v>
      </c>
      <c r="AD225" s="9" t="str">
        <f t="shared" si="18"/>
        <v>mm</v>
      </c>
      <c r="AE225" s="9" t="str">
        <f t="shared" si="19"/>
        <v>-45.0/ 45.0</v>
      </c>
      <c r="AF225" s="9" t="str">
        <f>E209</f>
        <v>O-25035</v>
      </c>
      <c r="AG225" s="9" t="str">
        <f>E210</f>
        <v>Jad Abi Rizk</v>
      </c>
      <c r="AH225" s="9" t="str">
        <f t="shared" si="20"/>
        <v>TECHNAL FXI</v>
      </c>
      <c r="AI225" s="9" t="str">
        <f>E214</f>
        <v>32 mm</v>
      </c>
      <c r="AJ225" s="9">
        <f>E218</f>
        <v>1</v>
      </c>
      <c r="AK225" s="9">
        <f>E217</f>
        <v>0</v>
      </c>
      <c r="AL225" s="9">
        <f>M214</f>
        <v>300</v>
      </c>
    </row>
    <row r="226" spans="1:38" s="44" customFormat="1" ht="29.25" customHeight="1" x14ac:dyDescent="0.25">
      <c r="A226" s="36">
        <v>5</v>
      </c>
      <c r="B226" s="37"/>
      <c r="C226" s="37" t="str">
        <f>E212</f>
        <v>TECHNAL FXI</v>
      </c>
      <c r="D226" s="38"/>
      <c r="E226" s="36">
        <v>8402</v>
      </c>
      <c r="F226" s="39" t="str">
        <f>E211</f>
        <v>E5 Clair</v>
      </c>
      <c r="G226" s="40">
        <f>I212+41</f>
        <v>748</v>
      </c>
      <c r="H226" s="36"/>
      <c r="I226" s="36">
        <f>1*E215</f>
        <v>1</v>
      </c>
      <c r="J226" s="41" t="s">
        <v>8</v>
      </c>
      <c r="K226" s="42"/>
      <c r="L226" s="43" t="s">
        <v>85</v>
      </c>
      <c r="M226" s="37"/>
      <c r="N226" s="45"/>
      <c r="O226" s="5"/>
      <c r="P226" s="5"/>
      <c r="Q226" s="5"/>
      <c r="R226" s="5"/>
      <c r="S226" s="5"/>
      <c r="T226" s="5"/>
      <c r="U226" s="5"/>
      <c r="V226" s="9" t="s">
        <v>54</v>
      </c>
      <c r="W226" s="9" t="str">
        <f>E216</f>
        <v>AJO 26 - 006</v>
      </c>
      <c r="X226" s="9" t="str">
        <f>D219&amp;"-"&amp;E219</f>
        <v>1-A3-W3</v>
      </c>
      <c r="Y226" s="9">
        <f t="shared" si="18"/>
        <v>8402</v>
      </c>
      <c r="Z226" s="9" t="str">
        <f t="shared" si="18"/>
        <v>E5 Clair</v>
      </c>
      <c r="AA226" s="9">
        <f t="shared" si="18"/>
        <v>748</v>
      </c>
      <c r="AB226" s="9">
        <f t="shared" si="18"/>
        <v>0</v>
      </c>
      <c r="AC226" s="9">
        <f t="shared" si="18"/>
        <v>1</v>
      </c>
      <c r="AD226" s="9" t="str">
        <f t="shared" si="18"/>
        <v>mm</v>
      </c>
      <c r="AE226" s="9" t="str">
        <f t="shared" si="19"/>
        <v>-45.0/ 0.0</v>
      </c>
      <c r="AF226" s="9" t="str">
        <f>E209</f>
        <v>O-25035</v>
      </c>
      <c r="AG226" s="9" t="str">
        <f>E210</f>
        <v>Jad Abi Rizk</v>
      </c>
      <c r="AH226" s="9" t="str">
        <f t="shared" si="20"/>
        <v>TECHNAL FXI</v>
      </c>
      <c r="AI226" s="9" t="str">
        <f>E214</f>
        <v>32 mm</v>
      </c>
      <c r="AJ226" s="9">
        <f>E218</f>
        <v>1</v>
      </c>
      <c r="AK226" s="9">
        <f>E217</f>
        <v>0</v>
      </c>
      <c r="AL226" s="9" t="s">
        <v>57</v>
      </c>
    </row>
    <row r="227" spans="1:38" s="44" customFormat="1" ht="29.25" customHeight="1" x14ac:dyDescent="0.25">
      <c r="A227" s="36">
        <v>6</v>
      </c>
      <c r="B227" s="37"/>
      <c r="C227" s="37" t="str">
        <f>E212</f>
        <v>TECHNAL FXI</v>
      </c>
      <c r="D227" s="38"/>
      <c r="E227" s="36">
        <v>8402</v>
      </c>
      <c r="F227" s="39" t="str">
        <f>E211</f>
        <v>E5 Clair</v>
      </c>
      <c r="G227" s="40">
        <f>I212+41</f>
        <v>748</v>
      </c>
      <c r="H227" s="36"/>
      <c r="I227" s="36">
        <f>1*E215</f>
        <v>1</v>
      </c>
      <c r="J227" s="41" t="s">
        <v>8</v>
      </c>
      <c r="K227" s="42"/>
      <c r="L227" s="43" t="s">
        <v>86</v>
      </c>
      <c r="M227" s="46"/>
      <c r="N227" s="13"/>
      <c r="O227" s="5"/>
      <c r="P227" s="5"/>
      <c r="Q227" s="5"/>
      <c r="R227" s="5"/>
      <c r="S227" s="5"/>
      <c r="T227" s="5"/>
      <c r="U227" s="5"/>
      <c r="V227" s="9" t="s">
        <v>54</v>
      </c>
      <c r="W227" s="9" t="str">
        <f>E216</f>
        <v>AJO 26 - 006</v>
      </c>
      <c r="X227" s="9" t="str">
        <f>D219&amp;"-"&amp;E219</f>
        <v>1-A3-W3</v>
      </c>
      <c r="Y227" s="9">
        <f t="shared" si="18"/>
        <v>8402</v>
      </c>
      <c r="Z227" s="9" t="str">
        <f t="shared" si="18"/>
        <v>E5 Clair</v>
      </c>
      <c r="AA227" s="9">
        <f t="shared" si="18"/>
        <v>748</v>
      </c>
      <c r="AB227" s="9">
        <f t="shared" si="18"/>
        <v>0</v>
      </c>
      <c r="AC227" s="9">
        <f t="shared" si="18"/>
        <v>1</v>
      </c>
      <c r="AD227" s="9" t="str">
        <f t="shared" si="18"/>
        <v>mm</v>
      </c>
      <c r="AE227" s="9" t="str">
        <f t="shared" si="19"/>
        <v>0.0/ 45.0</v>
      </c>
      <c r="AF227" s="9" t="str">
        <f>E209</f>
        <v>O-25035</v>
      </c>
      <c r="AG227" s="9" t="str">
        <f>E210</f>
        <v>Jad Abi Rizk</v>
      </c>
      <c r="AH227" s="9" t="str">
        <f t="shared" si="20"/>
        <v>TECHNAL FXI</v>
      </c>
      <c r="AI227" s="9" t="str">
        <f>E214</f>
        <v>32 mm</v>
      </c>
      <c r="AJ227" s="9">
        <f>E218</f>
        <v>1</v>
      </c>
      <c r="AK227" s="9">
        <f>E217</f>
        <v>0</v>
      </c>
      <c r="AL227" s="9" t="s">
        <v>57</v>
      </c>
    </row>
    <row r="228" spans="1:38" s="44" customFormat="1" ht="29.25" customHeight="1" x14ac:dyDescent="0.25">
      <c r="A228" s="36">
        <v>7</v>
      </c>
      <c r="B228" s="37"/>
      <c r="C228" s="47" t="str">
        <f>E212</f>
        <v>TECHNAL FXI</v>
      </c>
      <c r="D228" s="48"/>
      <c r="E228" s="36">
        <v>8402</v>
      </c>
      <c r="F228" s="39" t="str">
        <f>E211</f>
        <v>E5 Clair</v>
      </c>
      <c r="G228" s="40">
        <f>M208+82</f>
        <v>1112</v>
      </c>
      <c r="H228" s="49"/>
      <c r="I228" s="36">
        <f>1*E215</f>
        <v>1</v>
      </c>
      <c r="J228" s="50" t="s">
        <v>8</v>
      </c>
      <c r="K228" s="42"/>
      <c r="L228" s="43" t="s">
        <v>53</v>
      </c>
      <c r="M228" s="41" t="s">
        <v>45</v>
      </c>
      <c r="N228" s="37"/>
      <c r="O228" s="5"/>
      <c r="P228" s="5"/>
      <c r="Q228" s="5"/>
      <c r="R228" s="5"/>
      <c r="S228" s="5"/>
      <c r="T228" s="5"/>
      <c r="U228" s="5"/>
      <c r="V228" s="9" t="s">
        <v>54</v>
      </c>
      <c r="W228" s="9" t="str">
        <f>E216</f>
        <v>AJO 26 - 006</v>
      </c>
      <c r="X228" s="9" t="str">
        <f>D219&amp;"-"&amp;E219</f>
        <v>1-A3-W3</v>
      </c>
      <c r="Y228" s="9">
        <f t="shared" si="18"/>
        <v>8402</v>
      </c>
      <c r="Z228" s="9" t="str">
        <f t="shared" si="18"/>
        <v>E5 Clair</v>
      </c>
      <c r="AA228" s="9">
        <f t="shared" si="18"/>
        <v>1112</v>
      </c>
      <c r="AB228" s="9">
        <f t="shared" si="18"/>
        <v>0</v>
      </c>
      <c r="AC228" s="9">
        <f t="shared" si="18"/>
        <v>1</v>
      </c>
      <c r="AD228" s="9" t="str">
        <f t="shared" si="18"/>
        <v>mm</v>
      </c>
      <c r="AE228" s="9" t="str">
        <f t="shared" si="19"/>
        <v>-45.0/ 45.0</v>
      </c>
      <c r="AF228" s="9" t="str">
        <f>E209</f>
        <v>O-25035</v>
      </c>
      <c r="AG228" s="9" t="str">
        <f>E210</f>
        <v>Jad Abi Rizk</v>
      </c>
      <c r="AH228" s="9" t="str">
        <f t="shared" si="20"/>
        <v>TECHNAL FXI</v>
      </c>
      <c r="AI228" s="9" t="str">
        <f>E214</f>
        <v>32 mm</v>
      </c>
      <c r="AJ228" s="9">
        <f>E218</f>
        <v>1</v>
      </c>
      <c r="AK228" s="9">
        <f>E217</f>
        <v>0</v>
      </c>
      <c r="AL228" s="9" t="s">
        <v>57</v>
      </c>
    </row>
    <row r="229" spans="1:38" s="44" customFormat="1" ht="29.25" customHeight="1" x14ac:dyDescent="0.25">
      <c r="A229" s="36">
        <v>8</v>
      </c>
      <c r="B229" s="37"/>
      <c r="C229" s="47" t="str">
        <f>E212</f>
        <v>TECHNAL FXI</v>
      </c>
      <c r="D229" s="48"/>
      <c r="E229" s="36">
        <v>8402</v>
      </c>
      <c r="F229" s="39" t="str">
        <f>E211</f>
        <v>E5 Clair</v>
      </c>
      <c r="G229" s="49">
        <f>M208+82</f>
        <v>1112</v>
      </c>
      <c r="H229" s="49"/>
      <c r="I229" s="36">
        <f>0*E215</f>
        <v>0</v>
      </c>
      <c r="J229" s="50" t="s">
        <v>8</v>
      </c>
      <c r="K229" s="42"/>
      <c r="L229" s="43" t="s">
        <v>53</v>
      </c>
      <c r="M229" s="41"/>
      <c r="N229" s="37"/>
      <c r="O229" s="5"/>
      <c r="P229" s="5"/>
      <c r="Q229" s="5"/>
      <c r="R229" s="5"/>
      <c r="S229" s="5"/>
      <c r="T229" s="5"/>
      <c r="U229" s="5"/>
      <c r="V229" s="9" t="s">
        <v>54</v>
      </c>
      <c r="W229" s="9" t="str">
        <f>E216</f>
        <v>AJO 26 - 006</v>
      </c>
      <c r="X229" s="9" t="str">
        <f>D219&amp;"-"&amp;E219</f>
        <v>1-A3-W3</v>
      </c>
      <c r="Y229" s="9">
        <f t="shared" si="18"/>
        <v>8402</v>
      </c>
      <c r="Z229" s="9" t="str">
        <f t="shared" si="18"/>
        <v>E5 Clair</v>
      </c>
      <c r="AA229" s="9">
        <f t="shared" si="18"/>
        <v>1112</v>
      </c>
      <c r="AB229" s="9">
        <f t="shared" si="18"/>
        <v>0</v>
      </c>
      <c r="AC229" s="9">
        <f t="shared" si="18"/>
        <v>0</v>
      </c>
      <c r="AD229" s="9" t="str">
        <f t="shared" si="18"/>
        <v>mm</v>
      </c>
      <c r="AE229" s="9" t="str">
        <f t="shared" si="19"/>
        <v>-45.0/ 45.0</v>
      </c>
      <c r="AF229" s="9" t="str">
        <f>E209</f>
        <v>O-25035</v>
      </c>
      <c r="AG229" s="9" t="str">
        <f>E210</f>
        <v>Jad Abi Rizk</v>
      </c>
      <c r="AH229" s="9" t="str">
        <f t="shared" si="20"/>
        <v>TECHNAL FXI</v>
      </c>
      <c r="AI229" s="9" t="str">
        <f>E214</f>
        <v>32 mm</v>
      </c>
      <c r="AJ229" s="9">
        <f>E218</f>
        <v>1</v>
      </c>
      <c r="AK229" s="9">
        <f>E217</f>
        <v>0</v>
      </c>
      <c r="AL229" s="9" t="s">
        <v>57</v>
      </c>
    </row>
    <row r="230" spans="1:38" s="44" customFormat="1" ht="29.25" customHeight="1" x14ac:dyDescent="0.25">
      <c r="A230" s="36">
        <v>9</v>
      </c>
      <c r="B230" s="37"/>
      <c r="C230" s="37" t="s">
        <v>58</v>
      </c>
      <c r="D230" s="38"/>
      <c r="E230" s="36">
        <v>2271</v>
      </c>
      <c r="F230" s="39" t="str">
        <f>E211</f>
        <v>E5 Clair</v>
      </c>
      <c r="G230" s="40">
        <f>I212-144</f>
        <v>563</v>
      </c>
      <c r="H230" s="36"/>
      <c r="I230" s="36">
        <f>2*E215</f>
        <v>2</v>
      </c>
      <c r="J230" s="41" t="s">
        <v>8</v>
      </c>
      <c r="K230" s="42"/>
      <c r="L230" s="43" t="s">
        <v>59</v>
      </c>
      <c r="M230" s="41">
        <v>1</v>
      </c>
      <c r="N230" s="37"/>
      <c r="O230" s="5"/>
      <c r="P230" s="5"/>
      <c r="Q230" s="5"/>
      <c r="R230" s="5"/>
      <c r="S230" s="5"/>
      <c r="T230" s="5"/>
      <c r="U230" s="5"/>
      <c r="V230" s="9" t="s">
        <v>54</v>
      </c>
      <c r="W230" s="9" t="str">
        <f>E216</f>
        <v>AJO 26 - 006</v>
      </c>
      <c r="X230" s="9" t="str">
        <f>D219&amp;"-"&amp;E219</f>
        <v>1-A3-W3</v>
      </c>
      <c r="Y230" s="9">
        <f t="shared" si="18"/>
        <v>2271</v>
      </c>
      <c r="Z230" s="9" t="str">
        <f t="shared" si="18"/>
        <v>E5 Clair</v>
      </c>
      <c r="AA230" s="9">
        <f t="shared" si="18"/>
        <v>563</v>
      </c>
      <c r="AB230" s="9">
        <f t="shared" si="18"/>
        <v>0</v>
      </c>
      <c r="AC230" s="9">
        <f t="shared" si="18"/>
        <v>2</v>
      </c>
      <c r="AD230" s="9" t="str">
        <f t="shared" si="18"/>
        <v>mm</v>
      </c>
      <c r="AE230" s="9" t="str">
        <f t="shared" si="19"/>
        <v>0.0/ 0.0</v>
      </c>
      <c r="AF230" s="9" t="str">
        <f>E209</f>
        <v>O-25035</v>
      </c>
      <c r="AG230" s="9" t="str">
        <f>E210</f>
        <v>Jad Abi Rizk</v>
      </c>
      <c r="AH230" s="9" t="str">
        <f t="shared" si="20"/>
        <v>PARCLOSE</v>
      </c>
      <c r="AI230" s="9" t="str">
        <f>E214</f>
        <v>32 mm</v>
      </c>
      <c r="AJ230" s="9">
        <f>E218</f>
        <v>1</v>
      </c>
      <c r="AK230" s="9">
        <f>E217</f>
        <v>0</v>
      </c>
      <c r="AL230" s="9" t="s">
        <v>57</v>
      </c>
    </row>
    <row r="231" spans="1:38" s="44" customFormat="1" ht="29.25" customHeight="1" x14ac:dyDescent="0.25">
      <c r="A231" s="36">
        <v>10</v>
      </c>
      <c r="B231" s="37"/>
      <c r="C231" s="37" t="s">
        <v>58</v>
      </c>
      <c r="D231" s="38"/>
      <c r="E231" s="36">
        <v>2271</v>
      </c>
      <c r="F231" s="39" t="str">
        <f>E211</f>
        <v>E5 Clair</v>
      </c>
      <c r="G231" s="40">
        <f>IF(M230=1,M208-190,M208-144)</f>
        <v>840</v>
      </c>
      <c r="H231" s="36"/>
      <c r="I231" s="36">
        <f>2*E215</f>
        <v>2</v>
      </c>
      <c r="J231" s="41" t="s">
        <v>8</v>
      </c>
      <c r="K231" s="42"/>
      <c r="L231" s="43" t="s">
        <v>59</v>
      </c>
      <c r="M231" s="41"/>
      <c r="N231" s="37"/>
      <c r="O231" s="5"/>
      <c r="P231" s="5"/>
      <c r="Q231" s="5"/>
      <c r="R231" s="5"/>
      <c r="S231" s="5"/>
      <c r="T231" s="5"/>
      <c r="U231" s="5"/>
      <c r="V231" s="9" t="s">
        <v>54</v>
      </c>
      <c r="W231" s="9" t="str">
        <f>E216</f>
        <v>AJO 26 - 006</v>
      </c>
      <c r="X231" s="9" t="str">
        <f>D219&amp;"-"&amp;E219</f>
        <v>1-A3-W3</v>
      </c>
      <c r="Y231" s="9">
        <f t="shared" si="18"/>
        <v>2271</v>
      </c>
      <c r="Z231" s="9" t="str">
        <f t="shared" si="18"/>
        <v>E5 Clair</v>
      </c>
      <c r="AA231" s="9">
        <f t="shared" si="18"/>
        <v>840</v>
      </c>
      <c r="AB231" s="9">
        <f t="shared" si="18"/>
        <v>0</v>
      </c>
      <c r="AC231" s="9">
        <f t="shared" si="18"/>
        <v>2</v>
      </c>
      <c r="AD231" s="9" t="str">
        <f t="shared" si="18"/>
        <v>mm</v>
      </c>
      <c r="AE231" s="9" t="str">
        <f t="shared" si="19"/>
        <v>0.0/ 0.0</v>
      </c>
      <c r="AF231" s="9" t="str">
        <f>E209</f>
        <v>O-25035</v>
      </c>
      <c r="AG231" s="9" t="str">
        <f>E210</f>
        <v>Jad Abi Rizk</v>
      </c>
      <c r="AH231" s="9" t="str">
        <f t="shared" si="20"/>
        <v>PARCLOSE</v>
      </c>
      <c r="AI231" s="9" t="str">
        <f>E214</f>
        <v>32 mm</v>
      </c>
      <c r="AJ231" s="9">
        <f>E218</f>
        <v>1</v>
      </c>
      <c r="AK231" s="9">
        <f>E217</f>
        <v>0</v>
      </c>
      <c r="AL231" s="9" t="s">
        <v>57</v>
      </c>
    </row>
    <row r="232" spans="1:38" s="44" customFormat="1" ht="29.25" customHeight="1" x14ac:dyDescent="0.25">
      <c r="A232" s="36">
        <v>11</v>
      </c>
      <c r="B232" s="37"/>
      <c r="C232" s="37" t="str">
        <f>E212</f>
        <v>TECHNAL FXI</v>
      </c>
      <c r="D232" s="38"/>
      <c r="E232" s="36">
        <v>2010</v>
      </c>
      <c r="F232" s="39" t="str">
        <f>E211</f>
        <v>E5 Clair</v>
      </c>
      <c r="G232" s="40">
        <f>I212-22</f>
        <v>685</v>
      </c>
      <c r="H232" s="36"/>
      <c r="I232" s="36">
        <f>IF(M232=1,2*E215,0)</f>
        <v>0</v>
      </c>
      <c r="J232" s="41" t="s">
        <v>8</v>
      </c>
      <c r="K232" s="42"/>
      <c r="L232" s="43" t="s">
        <v>53</v>
      </c>
      <c r="M232" s="41"/>
      <c r="N232" s="37"/>
      <c r="O232" s="5"/>
      <c r="P232" s="5"/>
      <c r="Q232" s="5"/>
      <c r="R232" s="5"/>
      <c r="S232" s="5"/>
      <c r="T232" s="5"/>
      <c r="U232" s="5"/>
      <c r="V232" s="9" t="s">
        <v>54</v>
      </c>
      <c r="W232" s="9" t="str">
        <f>E216</f>
        <v>AJO 26 - 006</v>
      </c>
      <c r="X232" s="9" t="str">
        <f>D219&amp;"-"&amp;E219</f>
        <v>1-A3-W3</v>
      </c>
      <c r="Y232" s="9">
        <f t="shared" si="18"/>
        <v>2010</v>
      </c>
      <c r="Z232" s="9" t="str">
        <f t="shared" si="18"/>
        <v>E5 Clair</v>
      </c>
      <c r="AA232" s="9">
        <f t="shared" si="18"/>
        <v>685</v>
      </c>
      <c r="AB232" s="9">
        <f t="shared" si="18"/>
        <v>0</v>
      </c>
      <c r="AC232" s="9">
        <f t="shared" si="18"/>
        <v>0</v>
      </c>
      <c r="AD232" s="9" t="str">
        <f t="shared" si="18"/>
        <v>mm</v>
      </c>
      <c r="AE232" s="9" t="str">
        <f t="shared" si="19"/>
        <v>-45.0/ 45.0</v>
      </c>
      <c r="AF232" s="9" t="str">
        <f>E209</f>
        <v>O-25035</v>
      </c>
      <c r="AG232" s="9" t="str">
        <f>E210</f>
        <v>Jad Abi Rizk</v>
      </c>
      <c r="AH232" s="9" t="str">
        <f t="shared" si="20"/>
        <v>TECHNAL FXI</v>
      </c>
      <c r="AI232" s="9" t="str">
        <f>E214</f>
        <v>32 mm</v>
      </c>
      <c r="AJ232" s="9">
        <f>E218</f>
        <v>1</v>
      </c>
      <c r="AK232" s="9">
        <f>E217</f>
        <v>0</v>
      </c>
      <c r="AL232" s="9" t="s">
        <v>57</v>
      </c>
    </row>
    <row r="233" spans="1:38" s="44" customFormat="1" ht="29.25" customHeight="1" x14ac:dyDescent="0.25">
      <c r="A233" s="36">
        <v>12</v>
      </c>
      <c r="B233" s="37"/>
      <c r="C233" s="37" t="str">
        <f>E212</f>
        <v>TECHNAL FXI</v>
      </c>
      <c r="D233" s="38"/>
      <c r="E233" s="36">
        <v>2010</v>
      </c>
      <c r="F233" s="39" t="str">
        <f>E211</f>
        <v>E5 Clair</v>
      </c>
      <c r="G233" s="40">
        <f>M208-22</f>
        <v>1008</v>
      </c>
      <c r="H233" s="36"/>
      <c r="I233" s="36">
        <f>IF(M232=1,2*E215,0)</f>
        <v>0</v>
      </c>
      <c r="J233" s="41" t="s">
        <v>8</v>
      </c>
      <c r="K233" s="42"/>
      <c r="L233" s="43" t="s">
        <v>53</v>
      </c>
      <c r="M233" s="41"/>
      <c r="N233" s="37"/>
      <c r="O233" s="5"/>
      <c r="P233" s="5"/>
      <c r="Q233" s="5"/>
      <c r="R233" s="5"/>
      <c r="S233" s="5"/>
      <c r="T233" s="5"/>
      <c r="U233" s="5"/>
      <c r="V233" s="9" t="s">
        <v>54</v>
      </c>
      <c r="W233" s="9" t="str">
        <f>E216</f>
        <v>AJO 26 - 006</v>
      </c>
      <c r="X233" s="9" t="str">
        <f>D219&amp;"-"&amp;E219</f>
        <v>1-A3-W3</v>
      </c>
      <c r="Y233" s="9">
        <f t="shared" si="18"/>
        <v>2010</v>
      </c>
      <c r="Z233" s="9" t="str">
        <f t="shared" si="18"/>
        <v>E5 Clair</v>
      </c>
      <c r="AA233" s="9">
        <f t="shared" si="18"/>
        <v>1008</v>
      </c>
      <c r="AB233" s="9">
        <f t="shared" si="18"/>
        <v>0</v>
      </c>
      <c r="AC233" s="9">
        <f t="shared" si="18"/>
        <v>0</v>
      </c>
      <c r="AD233" s="9" t="str">
        <f t="shared" si="18"/>
        <v>mm</v>
      </c>
      <c r="AE233" s="9" t="str">
        <f t="shared" si="19"/>
        <v>-45.0/ 45.0</v>
      </c>
      <c r="AF233" s="9" t="str">
        <f>E209</f>
        <v>O-25035</v>
      </c>
      <c r="AG233" s="9" t="str">
        <f>E210</f>
        <v>Jad Abi Rizk</v>
      </c>
      <c r="AH233" s="9" t="str">
        <f t="shared" si="20"/>
        <v>TECHNAL FXI</v>
      </c>
      <c r="AI233" s="9" t="str">
        <f>E214</f>
        <v>32 mm</v>
      </c>
      <c r="AJ233" s="9">
        <f>E218</f>
        <v>1</v>
      </c>
      <c r="AK233" s="9">
        <f>E217</f>
        <v>0</v>
      </c>
      <c r="AL233" s="9" t="s">
        <v>57</v>
      </c>
    </row>
    <row r="234" spans="1:38" s="44" customFormat="1" ht="29.25" customHeight="1" x14ac:dyDescent="0.25">
      <c r="A234" s="36">
        <v>13</v>
      </c>
      <c r="B234" s="37"/>
      <c r="C234" s="47" t="str">
        <f>E212</f>
        <v>TECHNAL FXI</v>
      </c>
      <c r="D234" s="48"/>
      <c r="E234" s="39">
        <v>8015</v>
      </c>
      <c r="F234" s="39" t="str">
        <f>E211</f>
        <v>E5 Clair</v>
      </c>
      <c r="G234" s="49" t="s">
        <v>60</v>
      </c>
      <c r="H234" s="39"/>
      <c r="I234" s="51"/>
      <c r="J234" s="52" t="s">
        <v>8</v>
      </c>
      <c r="K234" s="42"/>
      <c r="L234" s="43" t="s">
        <v>59</v>
      </c>
      <c r="M234" s="41"/>
      <c r="N234" s="37"/>
      <c r="O234" s="5"/>
      <c r="P234" s="5"/>
      <c r="Q234" s="5"/>
      <c r="R234" s="5"/>
      <c r="S234" s="5"/>
      <c r="T234" s="5"/>
      <c r="U234" s="5"/>
      <c r="V234" s="9" t="s">
        <v>54</v>
      </c>
      <c r="W234" s="9" t="str">
        <f>E216</f>
        <v>AJO 26 - 006</v>
      </c>
      <c r="X234" s="9" t="str">
        <f>D219&amp;"-"&amp;E219</f>
        <v>1-A3-W3</v>
      </c>
      <c r="Y234" s="9">
        <f t="shared" si="18"/>
        <v>8015</v>
      </c>
      <c r="Z234" s="9" t="str">
        <f t="shared" si="18"/>
        <v>E5 Clair</v>
      </c>
      <c r="AA234" s="9" t="str">
        <f t="shared" si="18"/>
        <v>1H+ 1L</v>
      </c>
      <c r="AB234" s="9">
        <f t="shared" si="18"/>
        <v>0</v>
      </c>
      <c r="AC234" s="9">
        <f t="shared" si="18"/>
        <v>0</v>
      </c>
      <c r="AD234" s="9" t="str">
        <f t="shared" si="18"/>
        <v>mm</v>
      </c>
      <c r="AE234" s="9" t="str">
        <f t="shared" si="19"/>
        <v>0.0/ 0.0</v>
      </c>
      <c r="AF234" s="9" t="str">
        <f>E209</f>
        <v>O-25035</v>
      </c>
      <c r="AG234" s="9" t="str">
        <f>E210</f>
        <v>Jad Abi Rizk</v>
      </c>
      <c r="AH234" s="9" t="str">
        <f t="shared" si="20"/>
        <v>TECHNAL FXI</v>
      </c>
      <c r="AI234" s="9" t="str">
        <f>E214</f>
        <v>32 mm</v>
      </c>
      <c r="AJ234" s="9">
        <f>E218</f>
        <v>1</v>
      </c>
      <c r="AK234" s="9">
        <f>E217</f>
        <v>0</v>
      </c>
      <c r="AL234" s="9" t="s">
        <v>57</v>
      </c>
    </row>
    <row r="235" spans="1:38" s="44" customFormat="1" ht="29.25" hidden="1" customHeight="1" x14ac:dyDescent="0.25">
      <c r="A235" s="5"/>
      <c r="B235" s="13"/>
      <c r="C235" s="9"/>
      <c r="D235" s="53"/>
      <c r="E235" s="9"/>
      <c r="F235" s="9"/>
      <c r="G235" s="9"/>
      <c r="H235" s="9"/>
      <c r="I235" s="54"/>
      <c r="J235" s="54"/>
      <c r="K235" s="53"/>
      <c r="L235" s="53"/>
      <c r="M235" s="5"/>
      <c r="N235" s="5"/>
      <c r="O235" s="5"/>
      <c r="P235" s="5"/>
      <c r="Q235" s="5"/>
      <c r="R235" s="5"/>
      <c r="S235" s="5"/>
      <c r="T235" s="5"/>
      <c r="U235" s="5"/>
      <c r="V235" s="9" t="s">
        <v>54</v>
      </c>
      <c r="W235" s="9" t="str">
        <f>E216</f>
        <v>AJO 26 - 006</v>
      </c>
      <c r="X235" s="9" t="str">
        <f>D219&amp;"-"&amp;E219</f>
        <v>1-A3-W3</v>
      </c>
      <c r="Y235" s="9">
        <f t="shared" si="18"/>
        <v>0</v>
      </c>
      <c r="Z235" s="9">
        <f t="shared" si="18"/>
        <v>0</v>
      </c>
      <c r="AA235" s="9">
        <f t="shared" si="18"/>
        <v>0</v>
      </c>
      <c r="AB235" s="9">
        <f t="shared" si="18"/>
        <v>0</v>
      </c>
      <c r="AC235" s="9">
        <f t="shared" si="18"/>
        <v>0</v>
      </c>
      <c r="AD235" s="9">
        <f t="shared" si="18"/>
        <v>0</v>
      </c>
      <c r="AE235" s="9">
        <f t="shared" si="19"/>
        <v>0</v>
      </c>
      <c r="AF235" s="9" t="str">
        <f>E209</f>
        <v>O-25035</v>
      </c>
      <c r="AG235" s="9" t="str">
        <f>E210</f>
        <v>Jad Abi Rizk</v>
      </c>
      <c r="AH235" s="9">
        <f t="shared" si="20"/>
        <v>0</v>
      </c>
      <c r="AI235" s="9" t="str">
        <f>E214</f>
        <v>32 mm</v>
      </c>
      <c r="AJ235" s="9">
        <f>E218</f>
        <v>1</v>
      </c>
      <c r="AK235" s="9">
        <f>E217</f>
        <v>0</v>
      </c>
      <c r="AL235" s="9" t="s">
        <v>57</v>
      </c>
    </row>
    <row r="236" spans="1:38" s="44" customFormat="1" ht="29.25" hidden="1" customHeight="1" x14ac:dyDescent="0.25">
      <c r="A236" s="5"/>
      <c r="B236" s="13"/>
      <c r="C236" s="9"/>
      <c r="D236" s="53"/>
      <c r="E236" s="9"/>
      <c r="F236" s="9"/>
      <c r="G236" s="9"/>
      <c r="H236" s="9"/>
      <c r="I236" s="54"/>
      <c r="J236" s="54"/>
      <c r="K236" s="53"/>
      <c r="L236" s="53"/>
      <c r="M236" s="5"/>
      <c r="N236" s="5"/>
      <c r="O236" s="5"/>
      <c r="P236" s="5"/>
      <c r="Q236" s="5"/>
      <c r="R236" s="5"/>
      <c r="S236" s="5"/>
      <c r="T236" s="5"/>
      <c r="U236" s="5"/>
      <c r="V236" s="9" t="s">
        <v>54</v>
      </c>
      <c r="W236" s="9" t="str">
        <f>E216</f>
        <v>AJO 26 - 006</v>
      </c>
      <c r="X236" s="9" t="str">
        <f>D219&amp;"-"&amp;E219</f>
        <v>1-A3-W3</v>
      </c>
      <c r="Y236" s="9">
        <f t="shared" si="18"/>
        <v>0</v>
      </c>
      <c r="Z236" s="9">
        <f t="shared" si="18"/>
        <v>0</v>
      </c>
      <c r="AA236" s="9">
        <f t="shared" si="18"/>
        <v>0</v>
      </c>
      <c r="AB236" s="9">
        <f t="shared" si="18"/>
        <v>0</v>
      </c>
      <c r="AC236" s="9">
        <f t="shared" si="18"/>
        <v>0</v>
      </c>
      <c r="AD236" s="9">
        <f t="shared" si="18"/>
        <v>0</v>
      </c>
      <c r="AE236" s="9">
        <f t="shared" si="19"/>
        <v>0</v>
      </c>
      <c r="AF236" s="9" t="str">
        <f>E209</f>
        <v>O-25035</v>
      </c>
      <c r="AG236" s="9" t="str">
        <f>E210</f>
        <v>Jad Abi Rizk</v>
      </c>
      <c r="AH236" s="9">
        <f t="shared" si="20"/>
        <v>0</v>
      </c>
      <c r="AI236" s="9" t="str">
        <f>E214</f>
        <v>32 mm</v>
      </c>
      <c r="AJ236" s="9">
        <f>E218</f>
        <v>1</v>
      </c>
      <c r="AK236" s="9">
        <f>E217</f>
        <v>0</v>
      </c>
      <c r="AL236" s="9" t="s">
        <v>57</v>
      </c>
    </row>
    <row r="237" spans="1:38" s="44" customFormat="1" ht="29.25" hidden="1" customHeight="1" x14ac:dyDescent="0.25">
      <c r="A237" s="5"/>
      <c r="B237" s="13"/>
      <c r="C237" s="9"/>
      <c r="D237" s="53"/>
      <c r="E237" s="9"/>
      <c r="F237" s="9"/>
      <c r="G237" s="9"/>
      <c r="H237" s="9"/>
      <c r="I237" s="54"/>
      <c r="J237" s="54"/>
      <c r="K237" s="53"/>
      <c r="L237" s="53"/>
      <c r="M237" s="5"/>
      <c r="N237" s="5"/>
      <c r="O237" s="5"/>
      <c r="P237" s="5"/>
      <c r="Q237" s="5"/>
      <c r="R237" s="5"/>
      <c r="S237" s="5"/>
      <c r="T237" s="5"/>
      <c r="U237" s="5"/>
      <c r="V237" s="9" t="s">
        <v>54</v>
      </c>
      <c r="W237" s="9" t="str">
        <f>E216</f>
        <v>AJO 26 - 006</v>
      </c>
      <c r="X237" s="9" t="str">
        <f>D219&amp;"-"&amp;E219</f>
        <v>1-A3-W3</v>
      </c>
      <c r="Y237" s="9">
        <f t="shared" si="18"/>
        <v>0</v>
      </c>
      <c r="Z237" s="9">
        <f t="shared" si="18"/>
        <v>0</v>
      </c>
      <c r="AA237" s="9">
        <f t="shared" si="18"/>
        <v>0</v>
      </c>
      <c r="AB237" s="9">
        <f t="shared" si="18"/>
        <v>0</v>
      </c>
      <c r="AC237" s="9">
        <f t="shared" si="18"/>
        <v>0</v>
      </c>
      <c r="AD237" s="9">
        <f t="shared" si="18"/>
        <v>0</v>
      </c>
      <c r="AE237" s="9">
        <f t="shared" si="19"/>
        <v>0</v>
      </c>
      <c r="AF237" s="9" t="str">
        <f>E209</f>
        <v>O-25035</v>
      </c>
      <c r="AG237" s="9" t="str">
        <f>E210</f>
        <v>Jad Abi Rizk</v>
      </c>
      <c r="AH237" s="9">
        <f t="shared" si="20"/>
        <v>0</v>
      </c>
      <c r="AI237" s="9" t="str">
        <f>E214</f>
        <v>32 mm</v>
      </c>
      <c r="AJ237" s="9">
        <f>E218</f>
        <v>1</v>
      </c>
      <c r="AK237" s="9">
        <f>E217</f>
        <v>0</v>
      </c>
      <c r="AL237" s="9" t="s">
        <v>57</v>
      </c>
    </row>
    <row r="238" spans="1:38" s="44" customFormat="1" ht="29.25" hidden="1" customHeight="1" x14ac:dyDescent="0.25">
      <c r="A238" s="5"/>
      <c r="B238" s="13"/>
      <c r="C238" s="9"/>
      <c r="D238" s="53"/>
      <c r="E238" s="9"/>
      <c r="F238" s="9"/>
      <c r="G238" s="9"/>
      <c r="H238" s="9"/>
      <c r="I238" s="54"/>
      <c r="J238" s="54"/>
      <c r="K238" s="53"/>
      <c r="L238" s="53"/>
      <c r="M238" s="5"/>
      <c r="N238" s="5"/>
      <c r="O238" s="5"/>
      <c r="P238" s="5"/>
      <c r="Q238" s="5"/>
      <c r="R238" s="5"/>
      <c r="S238" s="5"/>
      <c r="T238" s="5"/>
      <c r="U238" s="5"/>
      <c r="V238" s="9" t="s">
        <v>54</v>
      </c>
      <c r="W238" s="9" t="str">
        <f>E216</f>
        <v>AJO 26 - 006</v>
      </c>
      <c r="X238" s="9" t="str">
        <f>D219&amp;"-"&amp;E219</f>
        <v>1-A3-W3</v>
      </c>
      <c r="Y238" s="9">
        <f t="shared" si="18"/>
        <v>0</v>
      </c>
      <c r="Z238" s="9">
        <f t="shared" si="18"/>
        <v>0</v>
      </c>
      <c r="AA238" s="9">
        <f t="shared" si="18"/>
        <v>0</v>
      </c>
      <c r="AB238" s="9">
        <f t="shared" si="18"/>
        <v>0</v>
      </c>
      <c r="AC238" s="9">
        <f t="shared" si="18"/>
        <v>0</v>
      </c>
      <c r="AD238" s="9">
        <f t="shared" si="18"/>
        <v>0</v>
      </c>
      <c r="AE238" s="9">
        <f t="shared" si="19"/>
        <v>0</v>
      </c>
      <c r="AF238" s="9" t="str">
        <f>E209</f>
        <v>O-25035</v>
      </c>
      <c r="AG238" s="9" t="str">
        <f>E210</f>
        <v>Jad Abi Rizk</v>
      </c>
      <c r="AH238" s="9">
        <f t="shared" si="20"/>
        <v>0</v>
      </c>
      <c r="AI238" s="9" t="str">
        <f>E214</f>
        <v>32 mm</v>
      </c>
      <c r="AJ238" s="9">
        <f>E218</f>
        <v>1</v>
      </c>
      <c r="AK238" s="9">
        <f>E217</f>
        <v>0</v>
      </c>
      <c r="AL238" s="9" t="s">
        <v>57</v>
      </c>
    </row>
    <row r="239" spans="1:38" s="44" customFormat="1" ht="29.25" hidden="1" customHeight="1" x14ac:dyDescent="0.25">
      <c r="A239" s="5"/>
      <c r="B239" s="13"/>
      <c r="C239" s="9"/>
      <c r="D239" s="53"/>
      <c r="E239" s="9"/>
      <c r="F239" s="9"/>
      <c r="G239" s="9"/>
      <c r="H239" s="9"/>
      <c r="I239" s="54"/>
      <c r="J239" s="54"/>
      <c r="K239" s="53"/>
      <c r="L239" s="53"/>
      <c r="M239" s="5"/>
      <c r="N239" s="5"/>
      <c r="O239" s="5"/>
      <c r="P239" s="5"/>
      <c r="Q239" s="5"/>
      <c r="R239" s="5"/>
      <c r="S239" s="5"/>
      <c r="T239" s="5"/>
      <c r="U239" s="5"/>
      <c r="V239" s="9" t="s">
        <v>54</v>
      </c>
      <c r="W239" s="9" t="str">
        <f>E216</f>
        <v>AJO 26 - 006</v>
      </c>
      <c r="X239" s="9" t="str">
        <f>D219&amp;"-"&amp;E219</f>
        <v>1-A3-W3</v>
      </c>
      <c r="Y239" s="9">
        <f t="shared" si="18"/>
        <v>0</v>
      </c>
      <c r="Z239" s="9">
        <f t="shared" si="18"/>
        <v>0</v>
      </c>
      <c r="AA239" s="9">
        <f t="shared" si="18"/>
        <v>0</v>
      </c>
      <c r="AB239" s="9">
        <f t="shared" si="18"/>
        <v>0</v>
      </c>
      <c r="AC239" s="9">
        <f t="shared" si="18"/>
        <v>0</v>
      </c>
      <c r="AD239" s="9">
        <f t="shared" si="18"/>
        <v>0</v>
      </c>
      <c r="AE239" s="9">
        <f t="shared" si="19"/>
        <v>0</v>
      </c>
      <c r="AF239" s="9" t="str">
        <f>E209</f>
        <v>O-25035</v>
      </c>
      <c r="AG239" s="9" t="str">
        <f>E210</f>
        <v>Jad Abi Rizk</v>
      </c>
      <c r="AH239" s="9">
        <f t="shared" si="20"/>
        <v>0</v>
      </c>
      <c r="AI239" s="9" t="str">
        <f>E214</f>
        <v>32 mm</v>
      </c>
      <c r="AJ239" s="9">
        <f>E218</f>
        <v>1</v>
      </c>
      <c r="AK239" s="9">
        <f>E217</f>
        <v>0</v>
      </c>
      <c r="AL239" s="9" t="s">
        <v>57</v>
      </c>
    </row>
    <row r="240" spans="1:38" s="44" customFormat="1" ht="29.25" hidden="1" customHeight="1" x14ac:dyDescent="0.25">
      <c r="A240" s="5"/>
      <c r="B240" s="13"/>
      <c r="C240" s="9"/>
      <c r="D240" s="53"/>
      <c r="E240" s="9"/>
      <c r="F240" s="9"/>
      <c r="G240" s="9"/>
      <c r="H240" s="9"/>
      <c r="I240" s="54"/>
      <c r="J240" s="54"/>
      <c r="K240" s="53"/>
      <c r="L240" s="53"/>
      <c r="M240" s="5"/>
      <c r="N240" s="5"/>
      <c r="O240" s="5"/>
      <c r="P240" s="5"/>
      <c r="Q240" s="5"/>
      <c r="R240" s="5"/>
      <c r="S240" s="5"/>
      <c r="T240" s="5"/>
      <c r="U240" s="5"/>
      <c r="V240" s="53"/>
      <c r="W240" s="55"/>
      <c r="X240" s="55"/>
      <c r="Y240" s="55"/>
      <c r="Z240" s="55"/>
      <c r="AA240" s="55"/>
      <c r="AB240" s="55"/>
      <c r="AC240" s="55"/>
      <c r="AD240" s="55"/>
      <c r="AE240" s="56"/>
      <c r="AF240" s="56"/>
      <c r="AG240" s="56"/>
      <c r="AH240" s="56"/>
      <c r="AI240" s="56"/>
      <c r="AJ240" s="56"/>
      <c r="AK240" s="56"/>
      <c r="AL240" s="56"/>
    </row>
    <row r="241" spans="1:38" s="44" customFormat="1" ht="29.25" hidden="1" customHeight="1" x14ac:dyDescent="0.25">
      <c r="A241" s="5"/>
      <c r="B241" s="13"/>
      <c r="C241" s="9"/>
      <c r="D241" s="53"/>
      <c r="E241" s="9"/>
      <c r="F241" s="9"/>
      <c r="G241" s="9"/>
      <c r="H241" s="9"/>
      <c r="I241" s="54"/>
      <c r="J241" s="54"/>
      <c r="K241" s="53"/>
      <c r="L241" s="53"/>
      <c r="M241" s="5"/>
      <c r="N241" s="5"/>
      <c r="O241" s="5"/>
      <c r="P241" s="5"/>
      <c r="Q241" s="5"/>
      <c r="R241" s="5"/>
      <c r="S241" s="5"/>
      <c r="T241" s="5"/>
      <c r="U241" s="5"/>
      <c r="V241" s="53"/>
      <c r="W241" s="55"/>
      <c r="X241" s="55"/>
      <c r="Y241" s="55"/>
      <c r="Z241" s="55"/>
      <c r="AA241" s="55"/>
      <c r="AB241" s="55"/>
      <c r="AC241" s="55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spans="1:38" s="44" customFormat="1" ht="29.25" hidden="1" customHeight="1" x14ac:dyDescent="0.25">
      <c r="A242" s="5"/>
      <c r="B242" s="13"/>
      <c r="C242" s="9"/>
      <c r="D242" s="53"/>
      <c r="E242" s="9"/>
      <c r="F242" s="9"/>
      <c r="G242" s="9"/>
      <c r="H242" s="9"/>
      <c r="I242" s="54"/>
      <c r="J242" s="54"/>
      <c r="K242" s="53"/>
      <c r="L242" s="53"/>
      <c r="M242" s="5"/>
      <c r="N242" s="5"/>
      <c r="O242" s="5"/>
      <c r="P242" s="5"/>
      <c r="Q242" s="5"/>
      <c r="R242" s="5"/>
      <c r="S242" s="5"/>
      <c r="T242" s="5"/>
      <c r="U242" s="5"/>
      <c r="V242" s="53"/>
      <c r="W242" s="55"/>
      <c r="X242" s="55"/>
      <c r="Y242" s="55"/>
      <c r="Z242" s="55"/>
      <c r="AA242" s="55"/>
      <c r="AB242" s="55"/>
      <c r="AC242" s="55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spans="1:38" s="59" customFormat="1" ht="29.1" customHeight="1" thickBot="1" x14ac:dyDescent="0.3">
      <c r="A243" s="57" t="s">
        <v>61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s="7" customFormat="1" ht="29.1" customHeight="1" thickBot="1" x14ac:dyDescent="0.3">
      <c r="A244" s="29" t="s">
        <v>33</v>
      </c>
      <c r="B244" s="30"/>
      <c r="C244" s="31" t="s">
        <v>34</v>
      </c>
      <c r="D244" s="32"/>
      <c r="E244" s="29" t="s">
        <v>62</v>
      </c>
      <c r="F244" s="29" t="s">
        <v>36</v>
      </c>
      <c r="G244" s="29" t="s">
        <v>37</v>
      </c>
      <c r="H244" s="29" t="s">
        <v>38</v>
      </c>
      <c r="I244" s="60" t="s">
        <v>27</v>
      </c>
      <c r="J244" s="60" t="s">
        <v>39</v>
      </c>
      <c r="K244" s="30"/>
      <c r="L244" s="32"/>
      <c r="M244" s="31" t="s">
        <v>63</v>
      </c>
      <c r="N244" s="34"/>
      <c r="O244" s="5"/>
      <c r="P244" s="5"/>
      <c r="Q244" s="5"/>
      <c r="R244" s="5"/>
      <c r="S244" s="5"/>
      <c r="T244" s="5"/>
      <c r="U244" s="5"/>
      <c r="V244" s="4"/>
      <c r="W244" s="4"/>
      <c r="X244" s="4"/>
      <c r="Y244" s="4"/>
      <c r="Z244" s="4"/>
      <c r="AA244" s="4"/>
      <c r="AB244" s="4"/>
      <c r="AC244" s="4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1:38" s="44" customFormat="1" ht="15.6" customHeight="1" x14ac:dyDescent="0.2">
      <c r="A245" s="51">
        <v>1</v>
      </c>
      <c r="B245" s="61"/>
      <c r="C245" s="47" t="str">
        <f>E212</f>
        <v>TECHNAL FXI</v>
      </c>
      <c r="D245" s="48"/>
      <c r="E245" s="39" t="s">
        <v>64</v>
      </c>
      <c r="F245" s="39"/>
      <c r="G245" s="39"/>
      <c r="H245" s="51"/>
      <c r="I245" s="39">
        <f>8*E215</f>
        <v>8</v>
      </c>
      <c r="J245" s="39" t="s">
        <v>65</v>
      </c>
      <c r="K245" s="62"/>
      <c r="L245" s="63"/>
      <c r="M245" s="5"/>
      <c r="N245" s="5"/>
      <c r="O245" s="5"/>
      <c r="P245" s="5"/>
      <c r="Q245" s="5"/>
      <c r="R245" s="5"/>
      <c r="S245" s="5"/>
      <c r="T245" s="5"/>
      <c r="U245" s="5"/>
      <c r="V245" s="35" t="s">
        <v>66</v>
      </c>
      <c r="W245" s="9" t="str">
        <f>E216</f>
        <v>AJO 26 - 006</v>
      </c>
      <c r="X245" s="9" t="str">
        <f>D219&amp;"-"&amp;E219</f>
        <v>1-A3-W3</v>
      </c>
      <c r="Y245" s="9" t="str">
        <f t="shared" ref="Y245:AD268" si="21">E245</f>
        <v>EE001</v>
      </c>
      <c r="Z245" s="9">
        <f t="shared" si="21"/>
        <v>0</v>
      </c>
      <c r="AA245" s="9">
        <f t="shared" si="21"/>
        <v>0</v>
      </c>
      <c r="AB245" s="9">
        <f t="shared" si="21"/>
        <v>0</v>
      </c>
      <c r="AC245" s="9">
        <f t="shared" si="21"/>
        <v>8</v>
      </c>
      <c r="AD245" s="9" t="str">
        <f t="shared" si="21"/>
        <v>pcs</v>
      </c>
      <c r="AE245" s="9">
        <f t="shared" ref="AE245:AE268" si="22">L245</f>
        <v>0</v>
      </c>
      <c r="AF245" s="9" t="str">
        <f>E209</f>
        <v>O-25035</v>
      </c>
      <c r="AG245" s="9" t="str">
        <f>E210</f>
        <v>Jad Abi Rizk</v>
      </c>
      <c r="AH245" s="9" t="str">
        <f t="shared" ref="AH245:AH268" si="23">C245</f>
        <v>TECHNAL FXI</v>
      </c>
      <c r="AI245" s="9" t="str">
        <f>E214</f>
        <v>32 mm</v>
      </c>
      <c r="AJ245" s="9">
        <f>E218</f>
        <v>1</v>
      </c>
      <c r="AK245" s="9">
        <f>E217</f>
        <v>0</v>
      </c>
      <c r="AL245" s="9" t="s">
        <v>57</v>
      </c>
    </row>
    <row r="246" spans="1:38" s="44" customFormat="1" ht="15.6" customHeight="1" x14ac:dyDescent="0.2">
      <c r="A246" s="51">
        <v>2</v>
      </c>
      <c r="B246" s="61"/>
      <c r="C246" s="47" t="str">
        <f>E212</f>
        <v>TECHNAL FXI</v>
      </c>
      <c r="D246" s="48"/>
      <c r="E246" s="39" t="s">
        <v>67</v>
      </c>
      <c r="F246" s="39"/>
      <c r="G246" s="39"/>
      <c r="H246" s="39"/>
      <c r="I246" s="39">
        <f>4*E215</f>
        <v>4</v>
      </c>
      <c r="J246" s="39" t="s">
        <v>65</v>
      </c>
      <c r="K246" s="62"/>
      <c r="L246" s="64"/>
      <c r="M246" s="37"/>
      <c r="N246" s="37"/>
      <c r="O246" s="5"/>
      <c r="P246" s="5"/>
      <c r="Q246" s="5"/>
      <c r="R246" s="5"/>
      <c r="S246" s="5"/>
      <c r="T246" s="5"/>
      <c r="U246" s="5"/>
      <c r="V246" s="35" t="s">
        <v>66</v>
      </c>
      <c r="W246" s="9" t="str">
        <f>E216</f>
        <v>AJO 26 - 006</v>
      </c>
      <c r="X246" s="9" t="str">
        <f>D219&amp;"-"&amp;E219</f>
        <v>1-A3-W3</v>
      </c>
      <c r="Y246" s="9" t="str">
        <f t="shared" si="21"/>
        <v>CF005</v>
      </c>
      <c r="Z246" s="9">
        <f t="shared" si="21"/>
        <v>0</v>
      </c>
      <c r="AA246" s="9">
        <f t="shared" si="21"/>
        <v>0</v>
      </c>
      <c r="AB246" s="9">
        <f t="shared" si="21"/>
        <v>0</v>
      </c>
      <c r="AC246" s="9">
        <f t="shared" si="21"/>
        <v>4</v>
      </c>
      <c r="AD246" s="9" t="str">
        <f t="shared" si="21"/>
        <v>pcs</v>
      </c>
      <c r="AE246" s="9">
        <f t="shared" si="22"/>
        <v>0</v>
      </c>
      <c r="AF246" s="9" t="str">
        <f>E209</f>
        <v>O-25035</v>
      </c>
      <c r="AG246" s="9" t="str">
        <f>E210</f>
        <v>Jad Abi Rizk</v>
      </c>
      <c r="AH246" s="9" t="str">
        <f t="shared" si="23"/>
        <v>TECHNAL FXI</v>
      </c>
      <c r="AI246" s="9" t="str">
        <f>E214</f>
        <v>32 mm</v>
      </c>
      <c r="AJ246" s="9">
        <f>E218</f>
        <v>1</v>
      </c>
      <c r="AK246" s="9">
        <f>E217</f>
        <v>0</v>
      </c>
      <c r="AL246" s="9" t="s">
        <v>57</v>
      </c>
    </row>
    <row r="247" spans="1:38" s="44" customFormat="1" ht="15.6" customHeight="1" x14ac:dyDescent="0.2">
      <c r="A247" s="51">
        <v>3</v>
      </c>
      <c r="B247" s="61"/>
      <c r="C247" s="47" t="str">
        <f>E212</f>
        <v>TECHNAL FXI</v>
      </c>
      <c r="D247" s="48"/>
      <c r="E247" s="39" t="s">
        <v>68</v>
      </c>
      <c r="F247" s="39"/>
      <c r="G247" s="39"/>
      <c r="H247" s="51"/>
      <c r="I247" s="39">
        <f>2*E215</f>
        <v>2</v>
      </c>
      <c r="J247" s="39" t="s">
        <v>65</v>
      </c>
      <c r="K247" s="62"/>
      <c r="L247" s="64"/>
      <c r="M247" s="5"/>
      <c r="N247" s="5"/>
      <c r="O247" s="5"/>
      <c r="P247" s="5"/>
      <c r="Q247" s="5"/>
      <c r="R247" s="5"/>
      <c r="S247" s="5"/>
      <c r="T247" s="5"/>
      <c r="U247" s="5"/>
      <c r="V247" s="35" t="s">
        <v>66</v>
      </c>
      <c r="W247" s="9" t="str">
        <f>E216</f>
        <v>AJO 26 - 006</v>
      </c>
      <c r="X247" s="9" t="str">
        <f>D219&amp;"-"&amp;E219</f>
        <v>1-A3-W3</v>
      </c>
      <c r="Y247" s="9" t="str">
        <f t="shared" si="21"/>
        <v>CF018</v>
      </c>
      <c r="Z247" s="9">
        <f t="shared" si="21"/>
        <v>0</v>
      </c>
      <c r="AA247" s="9">
        <f t="shared" si="21"/>
        <v>0</v>
      </c>
      <c r="AB247" s="9">
        <f t="shared" si="21"/>
        <v>0</v>
      </c>
      <c r="AC247" s="9">
        <f t="shared" si="21"/>
        <v>2</v>
      </c>
      <c r="AD247" s="9" t="str">
        <f t="shared" si="21"/>
        <v>pcs</v>
      </c>
      <c r="AE247" s="9">
        <f t="shared" si="22"/>
        <v>0</v>
      </c>
      <c r="AF247" s="9" t="str">
        <f>E209</f>
        <v>O-25035</v>
      </c>
      <c r="AG247" s="9" t="str">
        <f>E210</f>
        <v>Jad Abi Rizk</v>
      </c>
      <c r="AH247" s="9" t="str">
        <f t="shared" si="23"/>
        <v>TECHNAL FXI</v>
      </c>
      <c r="AI247" s="9" t="str">
        <f>E214</f>
        <v>32 mm</v>
      </c>
      <c r="AJ247" s="9">
        <f>E218</f>
        <v>1</v>
      </c>
      <c r="AK247" s="9">
        <f>E217</f>
        <v>0</v>
      </c>
      <c r="AL247" s="9" t="s">
        <v>57</v>
      </c>
    </row>
    <row r="248" spans="1:38" s="44" customFormat="1" ht="15.6" customHeight="1" x14ac:dyDescent="0.2">
      <c r="A248" s="51">
        <v>4</v>
      </c>
      <c r="B248" s="61"/>
      <c r="C248" s="47" t="str">
        <f>E212</f>
        <v>TECHNAL FXI</v>
      </c>
      <c r="D248" s="48"/>
      <c r="E248" s="39" t="s">
        <v>69</v>
      </c>
      <c r="F248" s="39"/>
      <c r="G248" s="39"/>
      <c r="H248" s="51"/>
      <c r="I248" s="39">
        <f>8*E215</f>
        <v>8</v>
      </c>
      <c r="J248" s="39" t="s">
        <v>65</v>
      </c>
      <c r="K248" s="62"/>
      <c r="L248" s="64"/>
      <c r="M248" s="37"/>
      <c r="N248" s="37"/>
      <c r="O248" s="5"/>
      <c r="P248" s="5"/>
      <c r="Q248" s="5"/>
      <c r="R248" s="5"/>
      <c r="S248" s="5"/>
      <c r="T248" s="5"/>
      <c r="U248" s="5"/>
      <c r="V248" s="35" t="s">
        <v>66</v>
      </c>
      <c r="W248" s="9" t="str">
        <f>E216</f>
        <v>AJO 26 - 006</v>
      </c>
      <c r="X248" s="9" t="str">
        <f>D219&amp;"-"&amp;E219</f>
        <v>1-A3-W3</v>
      </c>
      <c r="Y248" s="9" t="str">
        <f t="shared" si="21"/>
        <v>CF023</v>
      </c>
      <c r="Z248" s="9">
        <f t="shared" si="21"/>
        <v>0</v>
      </c>
      <c r="AA248" s="9">
        <f t="shared" si="21"/>
        <v>0</v>
      </c>
      <c r="AB248" s="9">
        <f t="shared" si="21"/>
        <v>0</v>
      </c>
      <c r="AC248" s="9">
        <f t="shared" si="21"/>
        <v>8</v>
      </c>
      <c r="AD248" s="9" t="str">
        <f t="shared" si="21"/>
        <v>pcs</v>
      </c>
      <c r="AE248" s="9">
        <f t="shared" si="22"/>
        <v>0</v>
      </c>
      <c r="AF248" s="9" t="str">
        <f>E209</f>
        <v>O-25035</v>
      </c>
      <c r="AG248" s="9" t="str">
        <f>E210</f>
        <v>Jad Abi Rizk</v>
      </c>
      <c r="AH248" s="9" t="str">
        <f t="shared" si="23"/>
        <v>TECHNAL FXI</v>
      </c>
      <c r="AI248" s="9" t="str">
        <f>E214</f>
        <v>32 mm</v>
      </c>
      <c r="AJ248" s="9">
        <f>E218</f>
        <v>1</v>
      </c>
      <c r="AK248" s="9">
        <f>E217</f>
        <v>0</v>
      </c>
      <c r="AL248" s="9" t="s">
        <v>57</v>
      </c>
    </row>
    <row r="249" spans="1:38" s="44" customFormat="1" ht="15.6" customHeight="1" x14ac:dyDescent="0.2">
      <c r="A249" s="51">
        <v>5</v>
      </c>
      <c r="B249" s="61"/>
      <c r="C249" s="47" t="str">
        <f>E212</f>
        <v>TECHNAL FXI</v>
      </c>
      <c r="D249" s="48"/>
      <c r="E249" s="39" t="s">
        <v>70</v>
      </c>
      <c r="F249" s="39"/>
      <c r="G249" s="39"/>
      <c r="H249" s="51"/>
      <c r="I249" s="39">
        <f>1*E215</f>
        <v>1</v>
      </c>
      <c r="J249" s="39" t="s">
        <v>65</v>
      </c>
      <c r="K249" s="62"/>
      <c r="L249" s="64"/>
      <c r="M249" s="5"/>
      <c r="N249" s="5"/>
      <c r="O249" s="5"/>
      <c r="P249" s="5"/>
      <c r="Q249" s="5"/>
      <c r="R249" s="5"/>
      <c r="S249" s="5"/>
      <c r="T249" s="5"/>
      <c r="U249" s="5"/>
      <c r="V249" s="35" t="s">
        <v>66</v>
      </c>
      <c r="W249" s="9" t="str">
        <f>E216</f>
        <v>AJO 26 - 006</v>
      </c>
      <c r="X249" s="9" t="str">
        <f>D219&amp;"-"&amp;E219</f>
        <v>1-A3-W3</v>
      </c>
      <c r="Y249" s="9" t="str">
        <f t="shared" si="21"/>
        <v>KF012</v>
      </c>
      <c r="Z249" s="9">
        <f t="shared" si="21"/>
        <v>0</v>
      </c>
      <c r="AA249" s="9">
        <f t="shared" si="21"/>
        <v>0</v>
      </c>
      <c r="AB249" s="9">
        <f t="shared" si="21"/>
        <v>0</v>
      </c>
      <c r="AC249" s="9">
        <f t="shared" si="21"/>
        <v>1</v>
      </c>
      <c r="AD249" s="9" t="str">
        <f t="shared" si="21"/>
        <v>pcs</v>
      </c>
      <c r="AE249" s="9">
        <f t="shared" si="22"/>
        <v>0</v>
      </c>
      <c r="AF249" s="9" t="str">
        <f>E209</f>
        <v>O-25035</v>
      </c>
      <c r="AG249" s="9" t="str">
        <f>E210</f>
        <v>Jad Abi Rizk</v>
      </c>
      <c r="AH249" s="9" t="str">
        <f t="shared" si="23"/>
        <v>TECHNAL FXI</v>
      </c>
      <c r="AI249" s="9" t="str">
        <f>E214</f>
        <v>32 mm</v>
      </c>
      <c r="AJ249" s="9">
        <f>E218</f>
        <v>1</v>
      </c>
      <c r="AK249" s="9">
        <f>E217</f>
        <v>0</v>
      </c>
      <c r="AL249" s="9">
        <f>M214</f>
        <v>300</v>
      </c>
    </row>
    <row r="250" spans="1:38" s="44" customFormat="1" ht="15.6" customHeight="1" x14ac:dyDescent="0.2">
      <c r="A250" s="51">
        <v>6</v>
      </c>
      <c r="B250" s="61"/>
      <c r="C250" s="47" t="str">
        <f>E212</f>
        <v>TECHNAL FXI</v>
      </c>
      <c r="D250" s="48"/>
      <c r="E250" s="39" t="s">
        <v>71</v>
      </c>
      <c r="F250" s="39"/>
      <c r="G250" s="39"/>
      <c r="H250" s="51"/>
      <c r="I250" s="39">
        <f>1*E215</f>
        <v>1</v>
      </c>
      <c r="J250" s="39" t="s">
        <v>65</v>
      </c>
      <c r="K250" s="62"/>
      <c r="L250" s="64"/>
      <c r="M250" s="65"/>
      <c r="N250" s="37"/>
      <c r="O250" s="5"/>
      <c r="P250" s="5"/>
      <c r="Q250" s="5"/>
      <c r="R250" s="5"/>
      <c r="S250" s="5"/>
      <c r="T250" s="5"/>
      <c r="U250" s="5"/>
      <c r="V250" s="35" t="s">
        <v>66</v>
      </c>
      <c r="W250" s="9" t="str">
        <f>E216</f>
        <v>AJO 26 - 006</v>
      </c>
      <c r="X250" s="9" t="str">
        <f>D219&amp;"-"&amp;E219</f>
        <v>1-A3-W3</v>
      </c>
      <c r="Y250" s="9" t="str">
        <f t="shared" si="21"/>
        <v>KF037</v>
      </c>
      <c r="Z250" s="9">
        <f t="shared" si="21"/>
        <v>0</v>
      </c>
      <c r="AA250" s="9">
        <f t="shared" si="21"/>
        <v>0</v>
      </c>
      <c r="AB250" s="9">
        <f t="shared" si="21"/>
        <v>0</v>
      </c>
      <c r="AC250" s="9">
        <f t="shared" si="21"/>
        <v>1</v>
      </c>
      <c r="AD250" s="9" t="str">
        <f t="shared" si="21"/>
        <v>pcs</v>
      </c>
      <c r="AE250" s="9">
        <f t="shared" si="22"/>
        <v>0</v>
      </c>
      <c r="AF250" s="9" t="str">
        <f>E209</f>
        <v>O-25035</v>
      </c>
      <c r="AG250" s="9" t="str">
        <f>E210</f>
        <v>Jad Abi Rizk</v>
      </c>
      <c r="AH250" s="9" t="str">
        <f t="shared" si="23"/>
        <v>TECHNAL FXI</v>
      </c>
      <c r="AI250" s="9" t="str">
        <f>E214</f>
        <v>32 mm</v>
      </c>
      <c r="AJ250" s="9">
        <f>E218</f>
        <v>1</v>
      </c>
      <c r="AK250" s="9">
        <f>E217</f>
        <v>0</v>
      </c>
      <c r="AL250" s="9">
        <f>M214</f>
        <v>300</v>
      </c>
    </row>
    <row r="251" spans="1:38" s="44" customFormat="1" ht="15.6" customHeight="1" x14ac:dyDescent="0.2">
      <c r="A251" s="51">
        <v>7</v>
      </c>
      <c r="B251" s="61"/>
      <c r="C251" s="47" t="str">
        <f>E212</f>
        <v>TECHNAL FXI</v>
      </c>
      <c r="D251" s="48"/>
      <c r="E251" s="39" t="s">
        <v>72</v>
      </c>
      <c r="F251" s="39"/>
      <c r="G251" s="39"/>
      <c r="H251" s="51"/>
      <c r="I251" s="39">
        <f>2*E215</f>
        <v>2</v>
      </c>
      <c r="J251" s="39" t="s">
        <v>65</v>
      </c>
      <c r="K251" s="62"/>
      <c r="L251" s="64"/>
      <c r="M251" s="65"/>
      <c r="N251" s="5"/>
      <c r="O251" s="5"/>
      <c r="P251" s="5"/>
      <c r="Q251" s="5"/>
      <c r="R251" s="5"/>
      <c r="S251" s="5"/>
      <c r="T251" s="5"/>
      <c r="U251" s="5"/>
      <c r="V251" s="35" t="s">
        <v>66</v>
      </c>
      <c r="W251" s="9" t="str">
        <f>E216</f>
        <v>AJO 26 - 006</v>
      </c>
      <c r="X251" s="9" t="str">
        <f>D219&amp;"-"&amp;E219</f>
        <v>1-A3-W3</v>
      </c>
      <c r="Y251" s="9" t="str">
        <f t="shared" si="21"/>
        <v>CF019</v>
      </c>
      <c r="Z251" s="9">
        <f t="shared" si="21"/>
        <v>0</v>
      </c>
      <c r="AA251" s="9">
        <f t="shared" si="21"/>
        <v>0</v>
      </c>
      <c r="AB251" s="9">
        <f t="shared" si="21"/>
        <v>0</v>
      </c>
      <c r="AC251" s="9">
        <f t="shared" si="21"/>
        <v>2</v>
      </c>
      <c r="AD251" s="9" t="str">
        <f t="shared" si="21"/>
        <v>pcs</v>
      </c>
      <c r="AE251" s="9">
        <f t="shared" si="22"/>
        <v>0</v>
      </c>
      <c r="AF251" s="9" t="str">
        <f>E209</f>
        <v>O-25035</v>
      </c>
      <c r="AG251" s="9" t="str">
        <f>E210</f>
        <v>Jad Abi Rizk</v>
      </c>
      <c r="AH251" s="9" t="str">
        <f t="shared" si="23"/>
        <v>TECHNAL FXI</v>
      </c>
      <c r="AI251" s="9" t="str">
        <f>E214</f>
        <v>32 mm</v>
      </c>
      <c r="AJ251" s="9">
        <f>E218</f>
        <v>1</v>
      </c>
      <c r="AK251" s="9">
        <f>E217</f>
        <v>0</v>
      </c>
      <c r="AL251" s="9" t="s">
        <v>57</v>
      </c>
    </row>
    <row r="252" spans="1:38" s="44" customFormat="1" ht="15.6" customHeight="1" x14ac:dyDescent="0.2">
      <c r="A252" s="51">
        <v>8</v>
      </c>
      <c r="B252" s="61"/>
      <c r="C252" s="47" t="str">
        <f>E212</f>
        <v>TECHNAL FXI</v>
      </c>
      <c r="D252" s="48"/>
      <c r="E252" s="39" t="s">
        <v>73</v>
      </c>
      <c r="F252" s="39"/>
      <c r="G252" s="39"/>
      <c r="H252" s="51"/>
      <c r="I252" s="39">
        <f>1*E215</f>
        <v>1</v>
      </c>
      <c r="J252" s="39" t="s">
        <v>65</v>
      </c>
      <c r="K252" s="62"/>
      <c r="L252" s="64"/>
      <c r="M252" s="65"/>
      <c r="N252" s="37"/>
      <c r="O252" s="5"/>
      <c r="P252" s="5"/>
      <c r="Q252" s="5"/>
      <c r="R252" s="5"/>
      <c r="S252" s="5"/>
      <c r="T252" s="5"/>
      <c r="U252" s="5"/>
      <c r="V252" s="35" t="s">
        <v>66</v>
      </c>
      <c r="W252" s="9" t="str">
        <f>E216</f>
        <v>AJO 26 - 006</v>
      </c>
      <c r="X252" s="9" t="str">
        <f>D219&amp;"-"&amp;E219</f>
        <v>1-A3-W3</v>
      </c>
      <c r="Y252" s="9" t="str">
        <f t="shared" si="21"/>
        <v>CF013</v>
      </c>
      <c r="Z252" s="9">
        <f t="shared" si="21"/>
        <v>0</v>
      </c>
      <c r="AA252" s="9">
        <f t="shared" si="21"/>
        <v>0</v>
      </c>
      <c r="AB252" s="9">
        <f t="shared" si="21"/>
        <v>0</v>
      </c>
      <c r="AC252" s="9">
        <f t="shared" si="21"/>
        <v>1</v>
      </c>
      <c r="AD252" s="9" t="str">
        <f t="shared" si="21"/>
        <v>pcs</v>
      </c>
      <c r="AE252" s="9">
        <f t="shared" si="22"/>
        <v>0</v>
      </c>
      <c r="AF252" s="9" t="str">
        <f>E209</f>
        <v>O-25035</v>
      </c>
      <c r="AG252" s="9" t="str">
        <f>E210</f>
        <v>Jad Abi Rizk</v>
      </c>
      <c r="AH252" s="9" t="str">
        <f t="shared" si="23"/>
        <v>TECHNAL FXI</v>
      </c>
      <c r="AI252" s="9" t="str">
        <f>E214</f>
        <v>32 mm</v>
      </c>
      <c r="AJ252" s="9">
        <f>E218</f>
        <v>1</v>
      </c>
      <c r="AK252" s="9">
        <f>E217</f>
        <v>0</v>
      </c>
      <c r="AL252" s="9" t="s">
        <v>57</v>
      </c>
    </row>
    <row r="253" spans="1:38" s="44" customFormat="1" ht="15.6" customHeight="1" x14ac:dyDescent="0.2">
      <c r="A253" s="51">
        <v>9</v>
      </c>
      <c r="B253" s="61"/>
      <c r="C253" s="47" t="str">
        <f>E212</f>
        <v>TECHNAL FXI</v>
      </c>
      <c r="D253" s="48"/>
      <c r="E253" s="39" t="s">
        <v>74</v>
      </c>
      <c r="F253" s="39"/>
      <c r="G253" s="39"/>
      <c r="H253" s="51"/>
      <c r="I253" s="39">
        <f>1*E215</f>
        <v>1</v>
      </c>
      <c r="J253" s="39" t="s">
        <v>65</v>
      </c>
      <c r="K253" s="62"/>
      <c r="L253" s="64"/>
      <c r="M253" s="65"/>
      <c r="N253" s="5"/>
      <c r="O253" s="5"/>
      <c r="P253" s="5"/>
      <c r="Q253" s="5"/>
      <c r="R253" s="5"/>
      <c r="S253" s="5"/>
      <c r="T253" s="5"/>
      <c r="U253" s="5"/>
      <c r="V253" s="35" t="s">
        <v>66</v>
      </c>
      <c r="W253" s="9" t="str">
        <f>E216</f>
        <v>AJO 26 - 006</v>
      </c>
      <c r="X253" s="9" t="str">
        <f>D219&amp;"-"&amp;E219</f>
        <v>1-A3-W3</v>
      </c>
      <c r="Y253" s="9" t="str">
        <f t="shared" si="21"/>
        <v>KF030</v>
      </c>
      <c r="Z253" s="9">
        <f t="shared" si="21"/>
        <v>0</v>
      </c>
      <c r="AA253" s="9">
        <f t="shared" si="21"/>
        <v>0</v>
      </c>
      <c r="AB253" s="9">
        <f t="shared" si="21"/>
        <v>0</v>
      </c>
      <c r="AC253" s="9">
        <f t="shared" si="21"/>
        <v>1</v>
      </c>
      <c r="AD253" s="9" t="str">
        <f t="shared" si="21"/>
        <v>pcs</v>
      </c>
      <c r="AE253" s="9">
        <f t="shared" si="22"/>
        <v>0</v>
      </c>
      <c r="AF253" s="9" t="str">
        <f>E209</f>
        <v>O-25035</v>
      </c>
      <c r="AG253" s="9" t="str">
        <f>E210</f>
        <v>Jad Abi Rizk</v>
      </c>
      <c r="AH253" s="9" t="str">
        <f t="shared" si="23"/>
        <v>TECHNAL FXI</v>
      </c>
      <c r="AI253" s="9" t="str">
        <f>E214</f>
        <v>32 mm</v>
      </c>
      <c r="AJ253" s="9">
        <f>E218</f>
        <v>1</v>
      </c>
      <c r="AK253" s="9">
        <f>E217</f>
        <v>0</v>
      </c>
      <c r="AL253" s="9">
        <f>M214</f>
        <v>300</v>
      </c>
    </row>
    <row r="254" spans="1:38" s="44" customFormat="1" ht="15.6" customHeight="1" x14ac:dyDescent="0.2">
      <c r="A254" s="51">
        <v>10</v>
      </c>
      <c r="B254" s="61"/>
      <c r="C254" s="47" t="str">
        <f>E212</f>
        <v>TECHNAL FXI</v>
      </c>
      <c r="D254" s="48"/>
      <c r="E254" s="39" t="s">
        <v>75</v>
      </c>
      <c r="F254" s="39"/>
      <c r="G254" s="66"/>
      <c r="H254" s="66"/>
      <c r="I254" s="66">
        <f>(2*I212+2*M208)*E215</f>
        <v>3474</v>
      </c>
      <c r="J254" s="39" t="s">
        <v>8</v>
      </c>
      <c r="K254" s="62"/>
      <c r="L254" s="64"/>
      <c r="M254" s="37"/>
      <c r="N254" s="37"/>
      <c r="O254" s="5"/>
      <c r="P254" s="5"/>
      <c r="Q254" s="5"/>
      <c r="R254" s="5"/>
      <c r="S254" s="5"/>
      <c r="T254" s="5"/>
      <c r="U254" s="5"/>
      <c r="V254" s="35" t="s">
        <v>66</v>
      </c>
      <c r="W254" s="9" t="str">
        <f>E216</f>
        <v>AJO 26 - 006</v>
      </c>
      <c r="X254" s="9" t="str">
        <f>D219&amp;"-"&amp;E219</f>
        <v>1-A3-W3</v>
      </c>
      <c r="Y254" s="9" t="str">
        <f t="shared" si="21"/>
        <v>JF001</v>
      </c>
      <c r="Z254" s="9">
        <f t="shared" si="21"/>
        <v>0</v>
      </c>
      <c r="AA254" s="9">
        <f t="shared" si="21"/>
        <v>0</v>
      </c>
      <c r="AB254" s="9">
        <f t="shared" si="21"/>
        <v>0</v>
      </c>
      <c r="AC254" s="9">
        <f t="shared" si="21"/>
        <v>3474</v>
      </c>
      <c r="AD254" s="9" t="str">
        <f t="shared" si="21"/>
        <v>mm</v>
      </c>
      <c r="AE254" s="9">
        <f t="shared" si="22"/>
        <v>0</v>
      </c>
      <c r="AF254" s="9" t="str">
        <f>E209</f>
        <v>O-25035</v>
      </c>
      <c r="AG254" s="9" t="str">
        <f>E210</f>
        <v>Jad Abi Rizk</v>
      </c>
      <c r="AH254" s="9" t="str">
        <f t="shared" si="23"/>
        <v>TECHNAL FXI</v>
      </c>
      <c r="AI254" s="9" t="str">
        <f>E214</f>
        <v>32 mm</v>
      </c>
      <c r="AJ254" s="9">
        <f>E218</f>
        <v>1</v>
      </c>
      <c r="AK254" s="9">
        <f>E217</f>
        <v>0</v>
      </c>
      <c r="AL254" s="9" t="s">
        <v>57</v>
      </c>
    </row>
    <row r="255" spans="1:38" s="44" customFormat="1" ht="15.6" customHeight="1" x14ac:dyDescent="0.2">
      <c r="A255" s="51">
        <v>11</v>
      </c>
      <c r="B255" s="61"/>
      <c r="C255" s="47" t="str">
        <f>E212</f>
        <v>TECHNAL FXI</v>
      </c>
      <c r="D255" s="48"/>
      <c r="E255" s="39" t="s">
        <v>76</v>
      </c>
      <c r="F255" s="39"/>
      <c r="G255" s="66"/>
      <c r="H255" s="66"/>
      <c r="I255" s="66">
        <f>(4*I212+4*M208)*E215</f>
        <v>6948</v>
      </c>
      <c r="J255" s="39" t="s">
        <v>8</v>
      </c>
      <c r="K255" s="62"/>
      <c r="L255" s="64"/>
      <c r="M255" s="5"/>
      <c r="N255" s="5"/>
      <c r="O255" s="5"/>
      <c r="P255" s="5"/>
      <c r="Q255" s="5"/>
      <c r="R255" s="5"/>
      <c r="S255" s="5"/>
      <c r="T255" s="5"/>
      <c r="U255" s="5"/>
      <c r="V255" s="35" t="s">
        <v>66</v>
      </c>
      <c r="W255" s="9" t="str">
        <f>E216</f>
        <v>AJO 26 - 006</v>
      </c>
      <c r="X255" s="9" t="str">
        <f>D219&amp;"-"&amp;E219</f>
        <v>1-A3-W3</v>
      </c>
      <c r="Y255" s="9" t="str">
        <f t="shared" si="21"/>
        <v>JF002</v>
      </c>
      <c r="Z255" s="9">
        <f t="shared" si="21"/>
        <v>0</v>
      </c>
      <c r="AA255" s="9">
        <f t="shared" si="21"/>
        <v>0</v>
      </c>
      <c r="AB255" s="9">
        <f t="shared" si="21"/>
        <v>0</v>
      </c>
      <c r="AC255" s="9">
        <f t="shared" si="21"/>
        <v>6948</v>
      </c>
      <c r="AD255" s="9" t="str">
        <f t="shared" si="21"/>
        <v>mm</v>
      </c>
      <c r="AE255" s="9">
        <f t="shared" si="22"/>
        <v>0</v>
      </c>
      <c r="AF255" s="9" t="str">
        <f>E209</f>
        <v>O-25035</v>
      </c>
      <c r="AG255" s="9" t="str">
        <f>E210</f>
        <v>Jad Abi Rizk</v>
      </c>
      <c r="AH255" s="9" t="str">
        <f t="shared" si="23"/>
        <v>TECHNAL FXI</v>
      </c>
      <c r="AI255" s="9" t="str">
        <f>E214</f>
        <v>32 mm</v>
      </c>
      <c r="AJ255" s="9">
        <f>E218</f>
        <v>1</v>
      </c>
      <c r="AK255" s="9">
        <f>E217</f>
        <v>0</v>
      </c>
      <c r="AL255" s="9" t="s">
        <v>57</v>
      </c>
    </row>
    <row r="256" spans="1:38" s="44" customFormat="1" ht="15.6" customHeight="1" x14ac:dyDescent="0.2">
      <c r="A256" s="51">
        <v>12</v>
      </c>
      <c r="B256" s="61"/>
      <c r="C256" s="47" t="str">
        <f>E212</f>
        <v>TECHNAL FXI</v>
      </c>
      <c r="D256" s="48"/>
      <c r="E256" s="39" t="s">
        <v>77</v>
      </c>
      <c r="F256" s="39"/>
      <c r="G256" s="66"/>
      <c r="H256" s="66"/>
      <c r="I256" s="66">
        <f>(2*I212+2*M208)*E215</f>
        <v>3474</v>
      </c>
      <c r="J256" s="39" t="s">
        <v>8</v>
      </c>
      <c r="K256" s="62"/>
      <c r="L256" s="64"/>
      <c r="M256" s="37"/>
      <c r="N256" s="37"/>
      <c r="O256" s="5"/>
      <c r="P256" s="5"/>
      <c r="Q256" s="5"/>
      <c r="R256" s="5"/>
      <c r="S256" s="5"/>
      <c r="T256" s="5"/>
      <c r="U256" s="5"/>
      <c r="V256" s="35" t="s">
        <v>66</v>
      </c>
      <c r="W256" s="9" t="str">
        <f>E216</f>
        <v>AJO 26 - 006</v>
      </c>
      <c r="X256" s="9" t="str">
        <f>D219&amp;"-"&amp;E219</f>
        <v>1-A3-W3</v>
      </c>
      <c r="Y256" s="9" t="str">
        <f t="shared" si="21"/>
        <v>JF005</v>
      </c>
      <c r="Z256" s="9">
        <f t="shared" si="21"/>
        <v>0</v>
      </c>
      <c r="AA256" s="9">
        <f t="shared" si="21"/>
        <v>0</v>
      </c>
      <c r="AB256" s="9">
        <f t="shared" si="21"/>
        <v>0</v>
      </c>
      <c r="AC256" s="9">
        <f t="shared" si="21"/>
        <v>3474</v>
      </c>
      <c r="AD256" s="9" t="str">
        <f t="shared" si="21"/>
        <v>mm</v>
      </c>
      <c r="AE256" s="9">
        <f t="shared" si="22"/>
        <v>0</v>
      </c>
      <c r="AF256" s="9" t="str">
        <f>E209</f>
        <v>O-25035</v>
      </c>
      <c r="AG256" s="9" t="str">
        <f>E210</f>
        <v>Jad Abi Rizk</v>
      </c>
      <c r="AH256" s="9" t="str">
        <f t="shared" si="23"/>
        <v>TECHNAL FXI</v>
      </c>
      <c r="AI256" s="9" t="str">
        <f>E214</f>
        <v>32 mm</v>
      </c>
      <c r="AJ256" s="9">
        <f>E218</f>
        <v>1</v>
      </c>
      <c r="AK256" s="9">
        <f>E217</f>
        <v>0</v>
      </c>
      <c r="AL256" s="9" t="s">
        <v>57</v>
      </c>
    </row>
    <row r="257" spans="1:38" s="44" customFormat="1" ht="15.6" customHeight="1" x14ac:dyDescent="0.2">
      <c r="A257" s="51">
        <v>13</v>
      </c>
      <c r="B257" s="61"/>
      <c r="C257" s="47" t="str">
        <f>E212</f>
        <v>TECHNAL FXI</v>
      </c>
      <c r="D257" s="48"/>
      <c r="E257" s="39">
        <v>1472</v>
      </c>
      <c r="F257" s="39"/>
      <c r="G257" s="66"/>
      <c r="H257" s="66"/>
      <c r="I257" s="66">
        <f>2*E215</f>
        <v>2</v>
      </c>
      <c r="J257" s="39" t="s">
        <v>65</v>
      </c>
      <c r="K257" s="62"/>
      <c r="L257" s="64"/>
      <c r="M257" s="37"/>
      <c r="N257" s="37"/>
      <c r="O257" s="5"/>
      <c r="P257" s="5"/>
      <c r="Q257" s="5"/>
      <c r="R257" s="5"/>
      <c r="S257" s="5"/>
      <c r="T257" s="5"/>
      <c r="U257" s="5"/>
      <c r="V257" s="35" t="s">
        <v>66</v>
      </c>
      <c r="W257" s="9" t="str">
        <f>E216</f>
        <v>AJO 26 - 006</v>
      </c>
      <c r="X257" s="9" t="str">
        <f>D219&amp;"-"&amp;E219</f>
        <v>1-A3-W3</v>
      </c>
      <c r="Y257" s="9">
        <f t="shared" si="21"/>
        <v>1472</v>
      </c>
      <c r="Z257" s="9">
        <f t="shared" si="21"/>
        <v>0</v>
      </c>
      <c r="AA257" s="9">
        <f t="shared" si="21"/>
        <v>0</v>
      </c>
      <c r="AB257" s="9">
        <f t="shared" si="21"/>
        <v>0</v>
      </c>
      <c r="AC257" s="9">
        <f t="shared" si="21"/>
        <v>2</v>
      </c>
      <c r="AD257" s="9" t="str">
        <f t="shared" si="21"/>
        <v>pcs</v>
      </c>
      <c r="AE257" s="9">
        <f t="shared" si="22"/>
        <v>0</v>
      </c>
      <c r="AF257" s="9" t="str">
        <f>E209</f>
        <v>O-25035</v>
      </c>
      <c r="AG257" s="9" t="str">
        <f>E210</f>
        <v>Jad Abi Rizk</v>
      </c>
      <c r="AH257" s="9" t="str">
        <f t="shared" si="23"/>
        <v>TECHNAL FXI</v>
      </c>
      <c r="AI257" s="9" t="str">
        <f>E214</f>
        <v>32 mm</v>
      </c>
      <c r="AJ257" s="9">
        <f>E218</f>
        <v>1</v>
      </c>
      <c r="AK257" s="9">
        <f>E217</f>
        <v>0</v>
      </c>
      <c r="AL257" s="9" t="s">
        <v>57</v>
      </c>
    </row>
    <row r="258" spans="1:38" s="44" customFormat="1" ht="15.6" customHeight="1" x14ac:dyDescent="0.2">
      <c r="A258" s="51">
        <v>14</v>
      </c>
      <c r="B258" s="61"/>
      <c r="C258" s="65" t="s">
        <v>78</v>
      </c>
      <c r="D258" s="48"/>
      <c r="E258" s="39" t="s">
        <v>79</v>
      </c>
      <c r="F258" s="39"/>
      <c r="G258" s="66"/>
      <c r="H258" s="66"/>
      <c r="I258" s="66">
        <f>IF(M258=1,1*E215,0*E215)</f>
        <v>0</v>
      </c>
      <c r="J258" s="39" t="s">
        <v>65</v>
      </c>
      <c r="K258" s="62"/>
      <c r="L258" s="64"/>
      <c r="M258" s="5"/>
      <c r="N258" s="5" t="s">
        <v>80</v>
      </c>
      <c r="O258" s="5"/>
      <c r="P258" s="5"/>
      <c r="Q258" s="5"/>
      <c r="R258" s="5"/>
      <c r="S258" s="5"/>
      <c r="T258" s="5"/>
      <c r="U258" s="5"/>
      <c r="V258" s="35" t="s">
        <v>66</v>
      </c>
      <c r="W258" s="9" t="str">
        <f>E216</f>
        <v>AJO 26 - 006</v>
      </c>
      <c r="X258" s="9" t="str">
        <f>D219&amp;"-"&amp;E219</f>
        <v>1-A3-W3</v>
      </c>
      <c r="Y258" s="9" t="str">
        <f t="shared" si="21"/>
        <v>KF045</v>
      </c>
      <c r="Z258" s="9">
        <f t="shared" si="21"/>
        <v>0</v>
      </c>
      <c r="AA258" s="9">
        <f t="shared" si="21"/>
        <v>0</v>
      </c>
      <c r="AB258" s="9">
        <f t="shared" si="21"/>
        <v>0</v>
      </c>
      <c r="AC258" s="9">
        <f t="shared" si="21"/>
        <v>0</v>
      </c>
      <c r="AD258" s="9" t="str">
        <f t="shared" si="21"/>
        <v>pcs</v>
      </c>
      <c r="AE258" s="9">
        <f t="shared" si="22"/>
        <v>0</v>
      </c>
      <c r="AF258" s="9" t="str">
        <f>E209</f>
        <v>O-25035</v>
      </c>
      <c r="AG258" s="9" t="str">
        <f>E210</f>
        <v>Jad Abi Rizk</v>
      </c>
      <c r="AH258" s="9" t="str">
        <f t="shared" si="23"/>
        <v>Compas Securite</v>
      </c>
      <c r="AI258" s="9" t="str">
        <f>E214</f>
        <v>32 mm</v>
      </c>
      <c r="AJ258" s="9">
        <f>E218</f>
        <v>1</v>
      </c>
      <c r="AK258" s="9">
        <f>E217</f>
        <v>0</v>
      </c>
      <c r="AL258" s="9" t="s">
        <v>57</v>
      </c>
    </row>
    <row r="259" spans="1:38" s="44" customFormat="1" ht="15.6" customHeight="1" x14ac:dyDescent="0.2">
      <c r="A259" s="51">
        <v>15</v>
      </c>
      <c r="B259" s="61"/>
      <c r="C259" s="47" t="str">
        <f>E212</f>
        <v>TECHNAL FXI</v>
      </c>
      <c r="D259" s="48"/>
      <c r="E259" s="39">
        <v>1112</v>
      </c>
      <c r="F259" s="39"/>
      <c r="G259" s="66"/>
      <c r="H259" s="66"/>
      <c r="I259" s="66">
        <f>IF(M259=1,0,(I226*G226+I227*G227+I228*G228+I229*G229)/1000*3)</f>
        <v>7.8239999999999998</v>
      </c>
      <c r="J259" s="39" t="s">
        <v>65</v>
      </c>
      <c r="K259" s="62"/>
      <c r="L259" s="64"/>
      <c r="M259" s="67">
        <v>0</v>
      </c>
      <c r="N259" s="68" t="s">
        <v>81</v>
      </c>
      <c r="O259" s="5"/>
      <c r="P259" s="5"/>
      <c r="Q259" s="5"/>
      <c r="R259" s="5"/>
      <c r="S259" s="5"/>
      <c r="T259" s="5"/>
      <c r="U259" s="5"/>
      <c r="V259" s="35" t="s">
        <v>66</v>
      </c>
      <c r="W259" s="9" t="str">
        <f>E216</f>
        <v>AJO 26 - 006</v>
      </c>
      <c r="X259" s="9" t="str">
        <f>D219&amp;"-"&amp;E219</f>
        <v>1-A3-W3</v>
      </c>
      <c r="Y259" s="9">
        <f t="shared" si="21"/>
        <v>1112</v>
      </c>
      <c r="Z259" s="9">
        <f t="shared" si="21"/>
        <v>0</v>
      </c>
      <c r="AA259" s="9">
        <f t="shared" si="21"/>
        <v>0</v>
      </c>
      <c r="AB259" s="9">
        <f t="shared" si="21"/>
        <v>0</v>
      </c>
      <c r="AC259" s="9">
        <f t="shared" si="21"/>
        <v>7.8239999999999998</v>
      </c>
      <c r="AD259" s="9" t="str">
        <f t="shared" si="21"/>
        <v>pcs</v>
      </c>
      <c r="AE259" s="9">
        <f t="shared" si="22"/>
        <v>0</v>
      </c>
      <c r="AF259" s="9" t="str">
        <f>E209</f>
        <v>O-25035</v>
      </c>
      <c r="AG259" s="9" t="str">
        <f>E210</f>
        <v>Jad Abi Rizk</v>
      </c>
      <c r="AH259" s="9" t="str">
        <f t="shared" si="23"/>
        <v>TECHNAL FXI</v>
      </c>
      <c r="AI259" s="9" t="str">
        <f>E214</f>
        <v>32 mm</v>
      </c>
      <c r="AJ259" s="9">
        <f>E218</f>
        <v>1</v>
      </c>
      <c r="AK259" s="9">
        <f>E217</f>
        <v>0</v>
      </c>
      <c r="AL259" s="9" t="s">
        <v>57</v>
      </c>
    </row>
    <row r="260" spans="1:38" s="44" customFormat="1" ht="15.6" customHeight="1" x14ac:dyDescent="0.2">
      <c r="A260" s="51">
        <v>16</v>
      </c>
      <c r="B260" s="61"/>
      <c r="C260" s="47" t="str">
        <f>E212</f>
        <v>TECHNAL FXI</v>
      </c>
      <c r="D260" s="48"/>
      <c r="E260" s="39">
        <v>2649</v>
      </c>
      <c r="F260" s="39"/>
      <c r="G260" s="66"/>
      <c r="H260" s="66"/>
      <c r="I260" s="66">
        <f>IF(M230=0,(I230*G230+I231*G231)/1000*5,0)</f>
        <v>0</v>
      </c>
      <c r="J260" s="39" t="s">
        <v>65</v>
      </c>
      <c r="K260" s="69"/>
      <c r="L260" s="70"/>
      <c r="M260" s="37"/>
      <c r="N260" s="37"/>
      <c r="O260" s="5"/>
      <c r="P260" s="5"/>
      <c r="Q260" s="5"/>
      <c r="R260" s="5"/>
      <c r="S260" s="5"/>
      <c r="T260" s="5"/>
      <c r="U260" s="5"/>
      <c r="V260" s="35" t="s">
        <v>66</v>
      </c>
      <c r="W260" s="9" t="str">
        <f>E216</f>
        <v>AJO 26 - 006</v>
      </c>
      <c r="X260" s="9" t="str">
        <f>D219&amp;"-"&amp;E219</f>
        <v>1-A3-W3</v>
      </c>
      <c r="Y260" s="9">
        <f t="shared" si="21"/>
        <v>2649</v>
      </c>
      <c r="Z260" s="9">
        <f t="shared" si="21"/>
        <v>0</v>
      </c>
      <c r="AA260" s="9">
        <f t="shared" si="21"/>
        <v>0</v>
      </c>
      <c r="AB260" s="9">
        <f t="shared" si="21"/>
        <v>0</v>
      </c>
      <c r="AC260" s="9">
        <f t="shared" si="21"/>
        <v>0</v>
      </c>
      <c r="AD260" s="9" t="str">
        <f t="shared" si="21"/>
        <v>pcs</v>
      </c>
      <c r="AE260" s="9">
        <f t="shared" si="22"/>
        <v>0</v>
      </c>
      <c r="AF260" s="9" t="str">
        <f>E209</f>
        <v>O-25035</v>
      </c>
      <c r="AG260" s="9" t="str">
        <f>E210</f>
        <v>Jad Abi Rizk</v>
      </c>
      <c r="AH260" s="9" t="str">
        <f t="shared" si="23"/>
        <v>TECHNAL FXI</v>
      </c>
      <c r="AI260" s="9" t="str">
        <f>E214</f>
        <v>32 mm</v>
      </c>
      <c r="AJ260" s="9">
        <f>E218</f>
        <v>1</v>
      </c>
      <c r="AK260" s="9">
        <f>E217</f>
        <v>0</v>
      </c>
      <c r="AL260" s="9" t="s">
        <v>57</v>
      </c>
    </row>
    <row r="261" spans="1:38" s="44" customFormat="1" ht="15.6" customHeight="1" x14ac:dyDescent="0.2">
      <c r="A261" s="51">
        <v>17</v>
      </c>
      <c r="B261" s="61"/>
      <c r="C261" s="47" t="str">
        <f>E212</f>
        <v>TECHNAL FXI</v>
      </c>
      <c r="D261" s="48"/>
      <c r="E261" s="39" t="s">
        <v>82</v>
      </c>
      <c r="F261" s="39"/>
      <c r="G261" s="39"/>
      <c r="H261" s="51"/>
      <c r="I261" s="39">
        <f>4*E215</f>
        <v>4</v>
      </c>
      <c r="J261" s="39" t="s">
        <v>65</v>
      </c>
      <c r="K261" s="69"/>
      <c r="L261" s="70"/>
      <c r="M261" s="37"/>
      <c r="N261" s="37"/>
      <c r="O261" s="5"/>
      <c r="P261" s="5"/>
      <c r="Q261" s="5"/>
      <c r="R261" s="5"/>
      <c r="S261" s="5"/>
      <c r="T261" s="5"/>
      <c r="U261" s="5"/>
      <c r="V261" s="35" t="s">
        <v>66</v>
      </c>
      <c r="W261" s="35" t="str">
        <f>E216</f>
        <v>AJO 26 - 006</v>
      </c>
      <c r="X261" s="9" t="str">
        <f>D219&amp;"-"&amp;E219</f>
        <v>1-A3-W3</v>
      </c>
      <c r="Y261" s="35" t="str">
        <f t="shared" si="21"/>
        <v>EE012</v>
      </c>
      <c r="Z261" s="35">
        <f t="shared" si="21"/>
        <v>0</v>
      </c>
      <c r="AA261" s="35">
        <f t="shared" si="21"/>
        <v>0</v>
      </c>
      <c r="AB261" s="35">
        <f t="shared" si="21"/>
        <v>0</v>
      </c>
      <c r="AC261" s="9">
        <f t="shared" si="21"/>
        <v>4</v>
      </c>
      <c r="AD261" s="35" t="str">
        <f t="shared" si="21"/>
        <v>pcs</v>
      </c>
      <c r="AE261" s="35">
        <f t="shared" si="22"/>
        <v>0</v>
      </c>
      <c r="AF261" s="35" t="str">
        <f>E209</f>
        <v>O-25035</v>
      </c>
      <c r="AG261" s="35" t="str">
        <f>E210</f>
        <v>Jad Abi Rizk</v>
      </c>
      <c r="AH261" s="35" t="str">
        <f t="shared" si="23"/>
        <v>TECHNAL FXI</v>
      </c>
      <c r="AI261" s="35" t="str">
        <f>E214</f>
        <v>32 mm</v>
      </c>
      <c r="AJ261" s="35">
        <f>E218</f>
        <v>1</v>
      </c>
      <c r="AK261" s="35">
        <f>E217</f>
        <v>0</v>
      </c>
      <c r="AL261" s="9" t="s">
        <v>57</v>
      </c>
    </row>
    <row r="262" spans="1:38" s="44" customFormat="1" ht="15.6" hidden="1" customHeight="1" x14ac:dyDescent="0.2">
      <c r="A262" s="5"/>
      <c r="B262" s="71"/>
      <c r="C262" s="5"/>
      <c r="D262" s="55"/>
      <c r="E262" s="10"/>
      <c r="F262" s="10"/>
      <c r="G262" s="10"/>
      <c r="H262" s="10"/>
      <c r="I262" s="5"/>
      <c r="J262" s="5"/>
      <c r="K262" s="55"/>
      <c r="L262" s="55"/>
      <c r="M262" s="5"/>
      <c r="N262" s="5"/>
      <c r="O262" s="5"/>
      <c r="P262" s="5"/>
      <c r="Q262" s="5"/>
      <c r="R262" s="5"/>
      <c r="S262" s="5"/>
      <c r="T262" s="5"/>
      <c r="U262" s="5"/>
      <c r="V262" s="35" t="s">
        <v>66</v>
      </c>
      <c r="W262" s="9" t="str">
        <f>E216</f>
        <v>AJO 26 - 006</v>
      </c>
      <c r="X262" s="9" t="str">
        <f>D219&amp;"-"&amp;E219</f>
        <v>1-A3-W3</v>
      </c>
      <c r="Y262" s="9">
        <f t="shared" si="21"/>
        <v>0</v>
      </c>
      <c r="Z262" s="9">
        <f t="shared" si="21"/>
        <v>0</v>
      </c>
      <c r="AA262" s="9">
        <f t="shared" si="21"/>
        <v>0</v>
      </c>
      <c r="AB262" s="9">
        <f t="shared" si="21"/>
        <v>0</v>
      </c>
      <c r="AC262" s="9">
        <f t="shared" si="21"/>
        <v>0</v>
      </c>
      <c r="AD262" s="9">
        <f t="shared" si="21"/>
        <v>0</v>
      </c>
      <c r="AE262" s="9">
        <f t="shared" si="22"/>
        <v>0</v>
      </c>
      <c r="AF262" s="9" t="str">
        <f>E209</f>
        <v>O-25035</v>
      </c>
      <c r="AG262" s="9" t="str">
        <f>E210</f>
        <v>Jad Abi Rizk</v>
      </c>
      <c r="AH262" s="9">
        <f t="shared" si="23"/>
        <v>0</v>
      </c>
      <c r="AI262" s="9" t="str">
        <f>E214</f>
        <v>32 mm</v>
      </c>
      <c r="AJ262" s="9">
        <f>E218</f>
        <v>1</v>
      </c>
      <c r="AK262" s="9">
        <f>E217</f>
        <v>0</v>
      </c>
      <c r="AL262" s="9" t="s">
        <v>57</v>
      </c>
    </row>
    <row r="263" spans="1:38" s="44" customFormat="1" ht="15.6" hidden="1" customHeight="1" x14ac:dyDescent="0.2">
      <c r="A263" s="5"/>
      <c r="B263" s="71"/>
      <c r="C263" s="5"/>
      <c r="D263" s="55"/>
      <c r="E263" s="10"/>
      <c r="F263" s="10"/>
      <c r="G263" s="10"/>
      <c r="H263" s="10"/>
      <c r="I263" s="5"/>
      <c r="J263" s="5"/>
      <c r="K263" s="55"/>
      <c r="L263" s="55"/>
      <c r="M263" s="5"/>
      <c r="N263" s="5"/>
      <c r="O263" s="5"/>
      <c r="P263" s="5"/>
      <c r="Q263" s="5"/>
      <c r="R263" s="5"/>
      <c r="S263" s="5"/>
      <c r="T263" s="5"/>
      <c r="U263" s="5"/>
      <c r="V263" s="35" t="s">
        <v>66</v>
      </c>
      <c r="W263" s="35" t="str">
        <f>E216</f>
        <v>AJO 26 - 006</v>
      </c>
      <c r="X263" s="9" t="str">
        <f>D219&amp;"-"&amp;E219</f>
        <v>1-A3-W3</v>
      </c>
      <c r="Y263" s="35">
        <f t="shared" si="21"/>
        <v>0</v>
      </c>
      <c r="Z263" s="35">
        <f t="shared" si="21"/>
        <v>0</v>
      </c>
      <c r="AA263" s="35">
        <f t="shared" si="21"/>
        <v>0</v>
      </c>
      <c r="AB263" s="35">
        <f t="shared" si="21"/>
        <v>0</v>
      </c>
      <c r="AC263" s="9">
        <f t="shared" si="21"/>
        <v>0</v>
      </c>
      <c r="AD263" s="35">
        <f t="shared" si="21"/>
        <v>0</v>
      </c>
      <c r="AE263" s="35">
        <f t="shared" si="22"/>
        <v>0</v>
      </c>
      <c r="AF263" s="35" t="str">
        <f>E209</f>
        <v>O-25035</v>
      </c>
      <c r="AG263" s="35" t="str">
        <f>E210</f>
        <v>Jad Abi Rizk</v>
      </c>
      <c r="AH263" s="35">
        <f t="shared" si="23"/>
        <v>0</v>
      </c>
      <c r="AI263" s="35" t="str">
        <f>E214</f>
        <v>32 mm</v>
      </c>
      <c r="AJ263" s="35">
        <f>E218</f>
        <v>1</v>
      </c>
      <c r="AK263" s="35">
        <f>E217</f>
        <v>0</v>
      </c>
      <c r="AL263" s="9" t="s">
        <v>57</v>
      </c>
    </row>
    <row r="264" spans="1:38" s="44" customFormat="1" ht="15.6" hidden="1" customHeight="1" x14ac:dyDescent="0.2">
      <c r="A264" s="5"/>
      <c r="B264" s="71"/>
      <c r="C264" s="5"/>
      <c r="D264" s="55"/>
      <c r="E264" s="10"/>
      <c r="F264" s="10"/>
      <c r="G264" s="10"/>
      <c r="H264" s="10"/>
      <c r="I264" s="5"/>
      <c r="J264" s="5"/>
      <c r="K264" s="55"/>
      <c r="L264" s="55"/>
      <c r="M264" s="5"/>
      <c r="N264" s="5"/>
      <c r="O264" s="5"/>
      <c r="P264" s="5"/>
      <c r="Q264" s="5"/>
      <c r="R264" s="5"/>
      <c r="S264" s="5"/>
      <c r="T264" s="5"/>
      <c r="U264" s="5"/>
      <c r="V264" s="35" t="s">
        <v>66</v>
      </c>
      <c r="W264" s="35" t="str">
        <f>E216</f>
        <v>AJO 26 - 006</v>
      </c>
      <c r="X264" s="9" t="str">
        <f>D219&amp;"-"&amp;E219</f>
        <v>1-A3-W3</v>
      </c>
      <c r="Y264" s="35">
        <f t="shared" si="21"/>
        <v>0</v>
      </c>
      <c r="Z264" s="35">
        <f t="shared" si="21"/>
        <v>0</v>
      </c>
      <c r="AA264" s="35">
        <f t="shared" si="21"/>
        <v>0</v>
      </c>
      <c r="AB264" s="35">
        <f t="shared" si="21"/>
        <v>0</v>
      </c>
      <c r="AC264" s="9">
        <f t="shared" si="21"/>
        <v>0</v>
      </c>
      <c r="AD264" s="35">
        <f t="shared" si="21"/>
        <v>0</v>
      </c>
      <c r="AE264" s="35">
        <f t="shared" si="22"/>
        <v>0</v>
      </c>
      <c r="AF264" s="35" t="str">
        <f>E209</f>
        <v>O-25035</v>
      </c>
      <c r="AG264" s="35" t="str">
        <f>E210</f>
        <v>Jad Abi Rizk</v>
      </c>
      <c r="AH264" s="35">
        <f t="shared" si="23"/>
        <v>0</v>
      </c>
      <c r="AI264" s="35" t="str">
        <f>E214</f>
        <v>32 mm</v>
      </c>
      <c r="AJ264" s="35">
        <f>E218</f>
        <v>1</v>
      </c>
      <c r="AK264" s="35">
        <f>E217</f>
        <v>0</v>
      </c>
      <c r="AL264" s="9" t="s">
        <v>57</v>
      </c>
    </row>
    <row r="265" spans="1:38" s="44" customFormat="1" ht="15.6" hidden="1" customHeight="1" x14ac:dyDescent="0.2">
      <c r="A265" s="5"/>
      <c r="B265" s="71"/>
      <c r="C265" s="5"/>
      <c r="D265" s="55"/>
      <c r="E265" s="10"/>
      <c r="F265" s="10"/>
      <c r="G265" s="10"/>
      <c r="H265" s="10"/>
      <c r="I265" s="5"/>
      <c r="J265" s="5"/>
      <c r="K265" s="55"/>
      <c r="L265" s="55"/>
      <c r="M265" s="5"/>
      <c r="N265" s="5"/>
      <c r="O265" s="5"/>
      <c r="P265" s="5"/>
      <c r="Q265" s="5"/>
      <c r="R265" s="5"/>
      <c r="S265" s="5"/>
      <c r="T265" s="5"/>
      <c r="U265" s="5"/>
      <c r="V265" s="35" t="s">
        <v>66</v>
      </c>
      <c r="W265" s="35" t="str">
        <f>E216</f>
        <v>AJO 26 - 006</v>
      </c>
      <c r="X265" s="9" t="str">
        <f>D219&amp;"-"&amp;E219</f>
        <v>1-A3-W3</v>
      </c>
      <c r="Y265" s="35">
        <f t="shared" si="21"/>
        <v>0</v>
      </c>
      <c r="Z265" s="35">
        <f t="shared" si="21"/>
        <v>0</v>
      </c>
      <c r="AA265" s="35">
        <f t="shared" si="21"/>
        <v>0</v>
      </c>
      <c r="AB265" s="35">
        <f t="shared" si="21"/>
        <v>0</v>
      </c>
      <c r="AC265" s="9">
        <f t="shared" si="21"/>
        <v>0</v>
      </c>
      <c r="AD265" s="35">
        <f t="shared" si="21"/>
        <v>0</v>
      </c>
      <c r="AE265" s="35">
        <f t="shared" si="22"/>
        <v>0</v>
      </c>
      <c r="AF265" s="35" t="str">
        <f>E209</f>
        <v>O-25035</v>
      </c>
      <c r="AG265" s="35" t="str">
        <f>E210</f>
        <v>Jad Abi Rizk</v>
      </c>
      <c r="AH265" s="35">
        <f t="shared" si="23"/>
        <v>0</v>
      </c>
      <c r="AI265" s="35" t="str">
        <f>E214</f>
        <v>32 mm</v>
      </c>
      <c r="AJ265" s="35">
        <f>E218</f>
        <v>1</v>
      </c>
      <c r="AK265" s="35">
        <f>E217</f>
        <v>0</v>
      </c>
      <c r="AL265" s="9" t="s">
        <v>57</v>
      </c>
    </row>
    <row r="266" spans="1:38" s="44" customFormat="1" ht="15.6" hidden="1" customHeight="1" x14ac:dyDescent="0.2">
      <c r="A266" s="5"/>
      <c r="B266" s="71"/>
      <c r="C266" s="5"/>
      <c r="D266" s="55"/>
      <c r="E266" s="10"/>
      <c r="F266" s="10"/>
      <c r="G266" s="10"/>
      <c r="H266" s="10"/>
      <c r="I266" s="5"/>
      <c r="J266" s="5"/>
      <c r="K266" s="55"/>
      <c r="L266" s="55"/>
      <c r="M266" s="5"/>
      <c r="N266" s="5"/>
      <c r="O266" s="5"/>
      <c r="P266" s="5"/>
      <c r="Q266" s="5"/>
      <c r="R266" s="5"/>
      <c r="S266" s="5"/>
      <c r="T266" s="5"/>
      <c r="U266" s="5"/>
      <c r="V266" s="35" t="s">
        <v>66</v>
      </c>
      <c r="W266" s="35" t="str">
        <f>E216</f>
        <v>AJO 26 - 006</v>
      </c>
      <c r="X266" s="9" t="str">
        <f>D219&amp;"-"&amp;E219</f>
        <v>1-A3-W3</v>
      </c>
      <c r="Y266" s="35">
        <f t="shared" si="21"/>
        <v>0</v>
      </c>
      <c r="Z266" s="35">
        <f t="shared" si="21"/>
        <v>0</v>
      </c>
      <c r="AA266" s="35">
        <f t="shared" si="21"/>
        <v>0</v>
      </c>
      <c r="AB266" s="35">
        <f t="shared" si="21"/>
        <v>0</v>
      </c>
      <c r="AC266" s="9">
        <f t="shared" si="21"/>
        <v>0</v>
      </c>
      <c r="AD266" s="35">
        <f t="shared" si="21"/>
        <v>0</v>
      </c>
      <c r="AE266" s="35">
        <f t="shared" si="22"/>
        <v>0</v>
      </c>
      <c r="AF266" s="35" t="str">
        <f>E209</f>
        <v>O-25035</v>
      </c>
      <c r="AG266" s="35" t="str">
        <f>E210</f>
        <v>Jad Abi Rizk</v>
      </c>
      <c r="AH266" s="35">
        <f t="shared" si="23"/>
        <v>0</v>
      </c>
      <c r="AI266" s="35" t="str">
        <f>E214</f>
        <v>32 mm</v>
      </c>
      <c r="AJ266" s="35">
        <f>E218</f>
        <v>1</v>
      </c>
      <c r="AK266" s="35">
        <f>E217</f>
        <v>0</v>
      </c>
      <c r="AL266" s="35" t="s">
        <v>57</v>
      </c>
    </row>
    <row r="267" spans="1:38" s="44" customFormat="1" ht="15.6" hidden="1" customHeight="1" x14ac:dyDescent="0.2">
      <c r="A267" s="5"/>
      <c r="B267" s="71"/>
      <c r="C267" s="5"/>
      <c r="D267" s="55"/>
      <c r="E267" s="10"/>
      <c r="F267" s="10"/>
      <c r="G267" s="10"/>
      <c r="H267" s="10"/>
      <c r="I267" s="5"/>
      <c r="J267" s="5"/>
      <c r="K267" s="55"/>
      <c r="L267" s="55"/>
      <c r="M267" s="5"/>
      <c r="N267" s="5"/>
      <c r="O267" s="5"/>
      <c r="P267" s="5"/>
      <c r="Q267" s="5"/>
      <c r="R267" s="5"/>
      <c r="S267" s="5"/>
      <c r="T267" s="5"/>
      <c r="U267" s="5"/>
      <c r="V267" s="35" t="s">
        <v>66</v>
      </c>
      <c r="W267" s="35" t="str">
        <f>E216</f>
        <v>AJO 26 - 006</v>
      </c>
      <c r="X267" s="9" t="str">
        <f>D219&amp;"-"&amp;E219</f>
        <v>1-A3-W3</v>
      </c>
      <c r="Y267" s="35">
        <f t="shared" si="21"/>
        <v>0</v>
      </c>
      <c r="Z267" s="35">
        <f t="shared" si="21"/>
        <v>0</v>
      </c>
      <c r="AA267" s="35">
        <f t="shared" si="21"/>
        <v>0</v>
      </c>
      <c r="AB267" s="35">
        <f t="shared" si="21"/>
        <v>0</v>
      </c>
      <c r="AC267" s="9">
        <f t="shared" si="21"/>
        <v>0</v>
      </c>
      <c r="AD267" s="35">
        <f t="shared" si="21"/>
        <v>0</v>
      </c>
      <c r="AE267" s="35">
        <f t="shared" si="22"/>
        <v>0</v>
      </c>
      <c r="AF267" s="35" t="str">
        <f>E209</f>
        <v>O-25035</v>
      </c>
      <c r="AG267" s="35" t="str">
        <f>E210</f>
        <v>Jad Abi Rizk</v>
      </c>
      <c r="AH267" s="35">
        <f t="shared" si="23"/>
        <v>0</v>
      </c>
      <c r="AI267" s="35" t="str">
        <f>E214</f>
        <v>32 mm</v>
      </c>
      <c r="AJ267" s="35">
        <f>E218</f>
        <v>1</v>
      </c>
      <c r="AK267" s="35">
        <f>E217</f>
        <v>0</v>
      </c>
      <c r="AL267" s="35" t="s">
        <v>57</v>
      </c>
    </row>
    <row r="268" spans="1:38" s="44" customFormat="1" ht="15.6" hidden="1" customHeight="1" x14ac:dyDescent="0.2">
      <c r="A268" s="5"/>
      <c r="B268" s="71"/>
      <c r="C268" s="5"/>
      <c r="D268" s="55"/>
      <c r="E268" s="10"/>
      <c r="F268" s="10"/>
      <c r="G268" s="10"/>
      <c r="H268" s="10"/>
      <c r="I268" s="5"/>
      <c r="J268" s="5"/>
      <c r="K268" s="55"/>
      <c r="L268" s="55"/>
      <c r="M268" s="5"/>
      <c r="N268" s="5"/>
      <c r="O268" s="5"/>
      <c r="P268" s="5"/>
      <c r="Q268" s="5"/>
      <c r="R268" s="5"/>
      <c r="S268" s="5"/>
      <c r="T268" s="5"/>
      <c r="U268" s="5"/>
      <c r="V268" s="35" t="s">
        <v>66</v>
      </c>
      <c r="W268" s="35" t="str">
        <f>E216</f>
        <v>AJO 26 - 006</v>
      </c>
      <c r="X268" s="9" t="str">
        <f>D219&amp;"-"&amp;E219</f>
        <v>1-A3-W3</v>
      </c>
      <c r="Y268" s="35">
        <f t="shared" si="21"/>
        <v>0</v>
      </c>
      <c r="Z268" s="35">
        <f t="shared" si="21"/>
        <v>0</v>
      </c>
      <c r="AA268" s="35">
        <f t="shared" si="21"/>
        <v>0</v>
      </c>
      <c r="AB268" s="35">
        <f t="shared" si="21"/>
        <v>0</v>
      </c>
      <c r="AC268" s="9">
        <f t="shared" si="21"/>
        <v>0</v>
      </c>
      <c r="AD268" s="35">
        <f t="shared" si="21"/>
        <v>0</v>
      </c>
      <c r="AE268" s="35">
        <f t="shared" si="22"/>
        <v>0</v>
      </c>
      <c r="AF268" s="35" t="str">
        <f>E209</f>
        <v>O-25035</v>
      </c>
      <c r="AG268" s="35" t="str">
        <f>E210</f>
        <v>Jad Abi Rizk</v>
      </c>
      <c r="AH268" s="35">
        <f t="shared" si="23"/>
        <v>0</v>
      </c>
      <c r="AI268" s="35" t="str">
        <f>E214</f>
        <v>32 mm</v>
      </c>
      <c r="AJ268" s="35">
        <f>E218</f>
        <v>1</v>
      </c>
      <c r="AK268" s="35">
        <f>E217</f>
        <v>0</v>
      </c>
      <c r="AL268" s="9" t="s">
        <v>57</v>
      </c>
    </row>
    <row r="269" spans="1:38" s="44" customFormat="1" ht="15.6" hidden="1" customHeight="1" x14ac:dyDescent="0.25">
      <c r="A269" s="5"/>
      <c r="B269" s="71"/>
      <c r="C269" s="5"/>
      <c r="D269" s="55"/>
      <c r="E269" s="10"/>
      <c r="F269" s="10"/>
      <c r="G269" s="10"/>
      <c r="H269" s="10"/>
      <c r="I269" s="5"/>
      <c r="J269" s="5"/>
      <c r="K269" s="55"/>
      <c r="L269" s="55"/>
      <c r="M269" s="5"/>
      <c r="N269" s="5"/>
      <c r="O269" s="5"/>
      <c r="P269" s="5"/>
      <c r="Q269" s="5"/>
      <c r="R269" s="5"/>
      <c r="S269" s="5"/>
      <c r="T269" s="5"/>
      <c r="U269" s="5"/>
      <c r="V269" s="55"/>
      <c r="W269" s="55"/>
      <c r="X269" s="55"/>
      <c r="Y269" s="55"/>
      <c r="Z269" s="55"/>
      <c r="AA269" s="55"/>
      <c r="AB269" s="55"/>
      <c r="AC269" s="55"/>
      <c r="AD269" s="55"/>
      <c r="AE269" s="56"/>
      <c r="AF269" s="56"/>
      <c r="AG269" s="56"/>
      <c r="AH269" s="56"/>
      <c r="AI269" s="56"/>
      <c r="AJ269" s="56"/>
      <c r="AK269" s="56"/>
      <c r="AL269" s="56"/>
    </row>
    <row r="270" spans="1:38" s="44" customFormat="1" ht="15.6" hidden="1" customHeight="1" x14ac:dyDescent="0.25">
      <c r="A270" s="5"/>
      <c r="B270" s="71"/>
      <c r="C270" s="5"/>
      <c r="D270" s="55"/>
      <c r="E270" s="10"/>
      <c r="F270" s="10"/>
      <c r="G270" s="10"/>
      <c r="H270" s="10"/>
      <c r="I270" s="5"/>
      <c r="J270" s="5"/>
      <c r="K270" s="55"/>
      <c r="L270" s="55"/>
      <c r="M270" s="5"/>
      <c r="N270" s="5"/>
      <c r="O270" s="5"/>
      <c r="P270" s="5"/>
      <c r="Q270" s="5"/>
      <c r="R270" s="5"/>
      <c r="S270" s="5"/>
      <c r="T270" s="5"/>
      <c r="U270" s="5"/>
      <c r="V270" s="55"/>
      <c r="W270" s="55"/>
      <c r="X270" s="55"/>
      <c r="Y270" s="55"/>
      <c r="Z270" s="55"/>
      <c r="AA270" s="55"/>
      <c r="AB270" s="55"/>
      <c r="AC270" s="9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spans="1:38" s="59" customFormat="1" ht="29.25" customHeight="1" x14ac:dyDescent="0.25">
      <c r="A271" s="9"/>
      <c r="B271" s="2"/>
      <c r="C271" s="2" t="s">
        <v>83</v>
      </c>
      <c r="D271" s="2"/>
      <c r="E271" s="2" t="str">
        <f>F214</f>
        <v>G1a</v>
      </c>
      <c r="F271" s="2" t="s">
        <v>57</v>
      </c>
      <c r="G271" s="2">
        <f>I212-162</f>
        <v>545</v>
      </c>
      <c r="H271" s="2">
        <f>M208-162</f>
        <v>868</v>
      </c>
      <c r="I271" s="2">
        <f>1*E215</f>
        <v>1</v>
      </c>
      <c r="J271" s="2" t="s">
        <v>8</v>
      </c>
      <c r="K271" s="2"/>
      <c r="L271" s="10"/>
      <c r="M271" s="10"/>
      <c r="N271" s="10"/>
      <c r="O271" s="5"/>
      <c r="P271" s="9"/>
      <c r="Q271" s="9"/>
      <c r="R271" s="9"/>
      <c r="S271" s="9"/>
      <c r="T271" s="9"/>
      <c r="U271" s="9"/>
      <c r="V271" s="9" t="s">
        <v>19</v>
      </c>
      <c r="W271" s="9" t="str">
        <f>E216</f>
        <v>AJO 26 - 006</v>
      </c>
      <c r="X271" s="9" t="str">
        <f>D219&amp;"-"&amp;E219</f>
        <v>1-A3-W3</v>
      </c>
      <c r="Y271" s="9"/>
      <c r="Z271" s="9" t="str">
        <f>E271</f>
        <v>G1a</v>
      </c>
      <c r="AA271" s="9">
        <f>G271</f>
        <v>545</v>
      </c>
      <c r="AB271" s="9">
        <f>H271</f>
        <v>868</v>
      </c>
      <c r="AC271" s="9">
        <f>I271</f>
        <v>1</v>
      </c>
      <c r="AD271" s="9" t="str">
        <f>J271</f>
        <v>mm</v>
      </c>
      <c r="AE271" s="9">
        <f>L271</f>
        <v>0</v>
      </c>
      <c r="AF271" s="9" t="str">
        <f>E209</f>
        <v>O-25035</v>
      </c>
      <c r="AG271" s="9" t="str">
        <f>E210</f>
        <v>Jad Abi Rizk</v>
      </c>
      <c r="AH271" s="9" t="str">
        <f>C271</f>
        <v>Double Glazing</v>
      </c>
      <c r="AI271" s="9" t="str">
        <f>E214</f>
        <v>32 mm</v>
      </c>
      <c r="AJ271" s="9">
        <f>E218</f>
        <v>1</v>
      </c>
      <c r="AK271" s="9">
        <f>E217</f>
        <v>0</v>
      </c>
      <c r="AL271" s="9" t="s">
        <v>57</v>
      </c>
    </row>
  </sheetData>
  <pageMargins left="0.7" right="0.7" top="0.75" bottom="0.75" header="0.3" footer="0.3"/>
  <pageSetup paperSize="9" scale="51" orientation="portrait" r:id="rId1"/>
  <rowBreaks count="8" manualBreakCount="8">
    <brk id="67" max="15" man="1"/>
    <brk id="135" max="15" man="1"/>
    <brk id="203" max="15" man="1"/>
    <brk id="613" max="11" man="1"/>
    <brk id="663" max="11" man="1"/>
    <brk id="713" max="11" man="1"/>
    <brk id="763" max="11" man="1"/>
    <brk id="813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Line="0" dde="1" r:id="rId5">
            <anchor moveWithCells="1">
              <from>
                <xdr:col>10</xdr:col>
                <xdr:colOff>38100</xdr:colOff>
                <xdr:row>29</xdr:row>
                <xdr:rowOff>85725</xdr:rowOff>
              </from>
              <to>
                <xdr:col>10</xdr:col>
                <xdr:colOff>638175</xdr:colOff>
                <xdr:row>29</xdr:row>
                <xdr:rowOff>276225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Line="0" dde="1" r:id="rId5">
            <anchor moveWithCells="1">
              <from>
                <xdr:col>10</xdr:col>
                <xdr:colOff>38100</xdr:colOff>
                <xdr:row>25</xdr:row>
                <xdr:rowOff>85725</xdr:rowOff>
              </from>
              <to>
                <xdr:col>10</xdr:col>
                <xdr:colOff>638175</xdr:colOff>
                <xdr:row>25</xdr:row>
                <xdr:rowOff>276225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7">
          <objectPr defaultSize="0" autoLine="0" dde="1" r:id="rId5">
            <anchor moveWithCells="1">
              <from>
                <xdr:col>10</xdr:col>
                <xdr:colOff>38100</xdr:colOff>
                <xdr:row>26</xdr:row>
                <xdr:rowOff>85725</xdr:rowOff>
              </from>
              <to>
                <xdr:col>10</xdr:col>
                <xdr:colOff>638175</xdr:colOff>
                <xdr:row>26</xdr:row>
                <xdr:rowOff>276225</xdr:rowOff>
              </to>
            </anchor>
          </objectPr>
        </oleObject>
      </mc:Choice>
      <mc:Fallback>
        <oleObject progId="PBrush" shapeId="1027" r:id="rId7"/>
      </mc:Fallback>
    </mc:AlternateContent>
    <mc:AlternateContent xmlns:mc="http://schemas.openxmlformats.org/markup-compatibility/2006">
      <mc:Choice Requires="x14">
        <oleObject progId="PBrush" shapeId="1028" r:id="rId8">
          <objectPr defaultSize="0" autoLine="0" dde="1" r:id="rId5">
            <anchor moveWithCells="1">
              <from>
                <xdr:col>10</xdr:col>
                <xdr:colOff>38100</xdr:colOff>
                <xdr:row>97</xdr:row>
                <xdr:rowOff>85725</xdr:rowOff>
              </from>
              <to>
                <xdr:col>10</xdr:col>
                <xdr:colOff>638175</xdr:colOff>
                <xdr:row>97</xdr:row>
                <xdr:rowOff>276225</xdr:rowOff>
              </to>
            </anchor>
          </objectPr>
        </oleObject>
      </mc:Choice>
      <mc:Fallback>
        <oleObject progId="PBrush" shapeId="1028" r:id="rId8"/>
      </mc:Fallback>
    </mc:AlternateContent>
    <mc:AlternateContent xmlns:mc="http://schemas.openxmlformats.org/markup-compatibility/2006">
      <mc:Choice Requires="x14">
        <oleObject progId="PBrush" shapeId="1029" r:id="rId9">
          <objectPr defaultSize="0" autoLine="0" dde="1" r:id="rId5">
            <anchor moveWithCells="1">
              <from>
                <xdr:col>10</xdr:col>
                <xdr:colOff>38100</xdr:colOff>
                <xdr:row>93</xdr:row>
                <xdr:rowOff>85725</xdr:rowOff>
              </from>
              <to>
                <xdr:col>10</xdr:col>
                <xdr:colOff>638175</xdr:colOff>
                <xdr:row>93</xdr:row>
                <xdr:rowOff>276225</xdr:rowOff>
              </to>
            </anchor>
          </objectPr>
        </oleObject>
      </mc:Choice>
      <mc:Fallback>
        <oleObject progId="PBrush" shapeId="1029" r:id="rId9"/>
      </mc:Fallback>
    </mc:AlternateContent>
    <mc:AlternateContent xmlns:mc="http://schemas.openxmlformats.org/markup-compatibility/2006">
      <mc:Choice Requires="x14">
        <oleObject progId="PBrush" shapeId="1030" r:id="rId10">
          <objectPr defaultSize="0" autoLine="0" dde="1" r:id="rId5">
            <anchor moveWithCells="1">
              <from>
                <xdr:col>10</xdr:col>
                <xdr:colOff>38100</xdr:colOff>
                <xdr:row>94</xdr:row>
                <xdr:rowOff>85725</xdr:rowOff>
              </from>
              <to>
                <xdr:col>10</xdr:col>
                <xdr:colOff>638175</xdr:colOff>
                <xdr:row>94</xdr:row>
                <xdr:rowOff>276225</xdr:rowOff>
              </to>
            </anchor>
          </objectPr>
        </oleObject>
      </mc:Choice>
      <mc:Fallback>
        <oleObject progId="PBrush" shapeId="1030" r:id="rId10"/>
      </mc:Fallback>
    </mc:AlternateContent>
    <mc:AlternateContent xmlns:mc="http://schemas.openxmlformats.org/markup-compatibility/2006">
      <mc:Choice Requires="x14">
        <oleObject progId="PBrush" shapeId="1031" r:id="rId11">
          <objectPr defaultSize="0" autoLine="0" dde="1" r:id="rId5">
            <anchor moveWithCells="1">
              <from>
                <xdr:col>10</xdr:col>
                <xdr:colOff>38100</xdr:colOff>
                <xdr:row>165</xdr:row>
                <xdr:rowOff>85725</xdr:rowOff>
              </from>
              <to>
                <xdr:col>10</xdr:col>
                <xdr:colOff>638175</xdr:colOff>
                <xdr:row>165</xdr:row>
                <xdr:rowOff>276225</xdr:rowOff>
              </to>
            </anchor>
          </objectPr>
        </oleObject>
      </mc:Choice>
      <mc:Fallback>
        <oleObject progId="PBrush" shapeId="1031" r:id="rId11"/>
      </mc:Fallback>
    </mc:AlternateContent>
    <mc:AlternateContent xmlns:mc="http://schemas.openxmlformats.org/markup-compatibility/2006">
      <mc:Choice Requires="x14">
        <oleObject progId="PBrush" shapeId="1032" r:id="rId12">
          <objectPr defaultSize="0" autoLine="0" dde="1" r:id="rId5">
            <anchor moveWithCells="1">
              <from>
                <xdr:col>10</xdr:col>
                <xdr:colOff>38100</xdr:colOff>
                <xdr:row>161</xdr:row>
                <xdr:rowOff>85725</xdr:rowOff>
              </from>
              <to>
                <xdr:col>10</xdr:col>
                <xdr:colOff>638175</xdr:colOff>
                <xdr:row>161</xdr:row>
                <xdr:rowOff>276225</xdr:rowOff>
              </to>
            </anchor>
          </objectPr>
        </oleObject>
      </mc:Choice>
      <mc:Fallback>
        <oleObject progId="PBrush" shapeId="1032" r:id="rId12"/>
      </mc:Fallback>
    </mc:AlternateContent>
    <mc:AlternateContent xmlns:mc="http://schemas.openxmlformats.org/markup-compatibility/2006">
      <mc:Choice Requires="x14">
        <oleObject progId="PBrush" shapeId="1033" r:id="rId13">
          <objectPr defaultSize="0" autoLine="0" dde="1" r:id="rId5">
            <anchor moveWithCells="1">
              <from>
                <xdr:col>10</xdr:col>
                <xdr:colOff>38100</xdr:colOff>
                <xdr:row>162</xdr:row>
                <xdr:rowOff>85725</xdr:rowOff>
              </from>
              <to>
                <xdr:col>10</xdr:col>
                <xdr:colOff>638175</xdr:colOff>
                <xdr:row>162</xdr:row>
                <xdr:rowOff>276225</xdr:rowOff>
              </to>
            </anchor>
          </objectPr>
        </oleObject>
      </mc:Choice>
      <mc:Fallback>
        <oleObject progId="PBrush" shapeId="1033" r:id="rId13"/>
      </mc:Fallback>
    </mc:AlternateContent>
    <mc:AlternateContent xmlns:mc="http://schemas.openxmlformats.org/markup-compatibility/2006">
      <mc:Choice Requires="x14">
        <oleObject progId="PBrush" shapeId="1034" r:id="rId14">
          <objectPr defaultSize="0" autoLine="0" dde="1" r:id="rId5">
            <anchor moveWithCells="1">
              <from>
                <xdr:col>10</xdr:col>
                <xdr:colOff>38100</xdr:colOff>
                <xdr:row>233</xdr:row>
                <xdr:rowOff>85725</xdr:rowOff>
              </from>
              <to>
                <xdr:col>10</xdr:col>
                <xdr:colOff>638175</xdr:colOff>
                <xdr:row>233</xdr:row>
                <xdr:rowOff>276225</xdr:rowOff>
              </to>
            </anchor>
          </objectPr>
        </oleObject>
      </mc:Choice>
      <mc:Fallback>
        <oleObject progId="PBrush" shapeId="1034" r:id="rId14"/>
      </mc:Fallback>
    </mc:AlternateContent>
    <mc:AlternateContent xmlns:mc="http://schemas.openxmlformats.org/markup-compatibility/2006">
      <mc:Choice Requires="x14">
        <oleObject progId="PBrush" shapeId="1035" r:id="rId15">
          <objectPr defaultSize="0" autoLine="0" dde="1" r:id="rId5">
            <anchor moveWithCells="1">
              <from>
                <xdr:col>10</xdr:col>
                <xdr:colOff>38100</xdr:colOff>
                <xdr:row>229</xdr:row>
                <xdr:rowOff>85725</xdr:rowOff>
              </from>
              <to>
                <xdr:col>10</xdr:col>
                <xdr:colOff>638175</xdr:colOff>
                <xdr:row>229</xdr:row>
                <xdr:rowOff>276225</xdr:rowOff>
              </to>
            </anchor>
          </objectPr>
        </oleObject>
      </mc:Choice>
      <mc:Fallback>
        <oleObject progId="PBrush" shapeId="1035" r:id="rId15"/>
      </mc:Fallback>
    </mc:AlternateContent>
    <mc:AlternateContent xmlns:mc="http://schemas.openxmlformats.org/markup-compatibility/2006">
      <mc:Choice Requires="x14">
        <oleObject progId="PBrush" shapeId="1036" r:id="rId16">
          <objectPr defaultSize="0" autoLine="0" dde="1" r:id="rId5">
            <anchor moveWithCells="1">
              <from>
                <xdr:col>10</xdr:col>
                <xdr:colOff>38100</xdr:colOff>
                <xdr:row>230</xdr:row>
                <xdr:rowOff>85725</xdr:rowOff>
              </from>
              <to>
                <xdr:col>10</xdr:col>
                <xdr:colOff>638175</xdr:colOff>
                <xdr:row>230</xdr:row>
                <xdr:rowOff>276225</xdr:rowOff>
              </to>
            </anchor>
          </objectPr>
        </oleObject>
      </mc:Choice>
      <mc:Fallback>
        <oleObject progId="PBrush" shapeId="1036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LSHW- FXI-F1</vt:lpstr>
      <vt:lpstr>'1 LSHW- FXI-F1'!Print_Area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 Abi Rizk</dc:creator>
  <cp:lastModifiedBy>Windows User</cp:lastModifiedBy>
  <dcterms:created xsi:type="dcterms:W3CDTF">2026-07-02T09:08:04Z</dcterms:created>
  <dcterms:modified xsi:type="dcterms:W3CDTF">2026-07-16T22:17:43Z</dcterms:modified>
</cp:coreProperties>
</file>